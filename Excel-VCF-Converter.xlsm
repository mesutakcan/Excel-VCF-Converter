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D:\MESUT\Dropbox\Excel dosyalar\XLS to VCF\"/>
    </mc:Choice>
  </mc:AlternateContent>
  <xr:revisionPtr revIDLastSave="0" documentId="13_ncr:1_{E6205E96-F56F-4B9D-BE41-90BD70681D53}" xr6:coauthVersionLast="47" xr6:coauthVersionMax="47" xr10:uidLastSave="{00000000-0000-0000-0000-000000000000}"/>
  <bookViews>
    <workbookView xWindow="-120" yWindow="-120" windowWidth="29040" windowHeight="15720" xr2:uid="{00000000-000D-0000-FFFF-FFFF00000000}"/>
  </bookViews>
  <sheets>
    <sheet name="Data" sheetId="3" r:id="rId1"/>
    <sheet name="Settings" sheetId="6" r:id="rId2"/>
    <sheet name="Fields" sheetId="7" r:id="rId3"/>
    <sheet name="Strings" sheetId="4" r:id="rId4"/>
    <sheet name="About" sheetId="5" r:id="rId5"/>
    <sheet name="Log" sheetId="8" r:id="rId6"/>
  </sheets>
  <functionGroups builtInGroupCount="19"/>
  <definedNames>
    <definedName name="_FilterDatabase" localSheetId="0" hidden="1">Data!$A$2:$AW$2</definedName>
    <definedName name="_xlnm._FilterDatabase" localSheetId="0" hidden="1">Data!$A$2:$AW$2</definedName>
    <definedName name="data_head">Data!$2:$2</definedName>
    <definedName name="f_ADR_HOME" hidden="1">Data!$P$2</definedName>
    <definedName name="f_ADR_HOME2" hidden="1">Data!$AD$2</definedName>
    <definedName name="f_ADR_HOME3" hidden="1">Data!$AE$2</definedName>
    <definedName name="f_ADR_HOME4" hidden="1">Data!$AG$2</definedName>
    <definedName name="f_ADR_OTHER" hidden="1">Data!#REF!</definedName>
    <definedName name="f_ADR_WORK" hidden="1">Data!$Q$2</definedName>
    <definedName name="f_ADR_WORK2" hidden="1">Data!$AF$2</definedName>
    <definedName name="f_BDAY" hidden="1">Data!$D$2</definedName>
    <definedName name="f_CATEGORIES" hidden="1">Data!$V$2</definedName>
    <definedName name="f_EMAIL_HOME_1" hidden="1">Data!$L$2</definedName>
    <definedName name="f_EMAIL_HOME_2" hidden="1">Data!$M$2</definedName>
    <definedName name="f_EMAIL_HOME_3" hidden="1">Data!$N$2</definedName>
    <definedName name="f_EMAIL_HOME_4" hidden="1">Data!$AL$2</definedName>
    <definedName name="f_EMAIL_HOME_5" hidden="1">Data!$AM$2</definedName>
    <definedName name="f_EMAIL_OTHER_1" hidden="1">Data!#REF!</definedName>
    <definedName name="f_EMAIL_WORK_1" hidden="1">Data!$O$2</definedName>
    <definedName name="f_EMAIL_WORK_2" hidden="1">Data!#REF!</definedName>
    <definedName name="f_FAMILY" hidden="1">Data!$C$2</definedName>
    <definedName name="f_FN" hidden="1">Data!#REF!</definedName>
    <definedName name="f_GIVEN" hidden="1">Data!$A$2</definedName>
    <definedName name="f_MIDDLE" hidden="1">Data!$B$2</definedName>
    <definedName name="f_NICKNAME" hidden="1">Data!$Z$2</definedName>
    <definedName name="f_NOTE" hidden="1">Data!$W$2</definedName>
    <definedName name="f_ORG" hidden="1">Data!$R$2</definedName>
    <definedName name="f_PREFIX" hidden="1">Data!$X$2</definedName>
    <definedName name="f_ROLE" hidden="1">Data!#REF!</definedName>
    <definedName name="f_SUFFIX" hidden="1">Data!$Y$2</definedName>
    <definedName name="f_TEL_CELL_1" hidden="1">Data!$E$2</definedName>
    <definedName name="f_TEL_CELL_2" hidden="1">Data!$F$2</definedName>
    <definedName name="f_TEL_CELL_3" hidden="1">Data!$G$2</definedName>
    <definedName name="f_TEL_CELL_4" hidden="1">Data!$AH$2</definedName>
    <definedName name="f_TEL_CELL_5" hidden="1">Data!$AI$2</definedName>
    <definedName name="f_TEL_HOME_1" hidden="1">Data!$H$2</definedName>
    <definedName name="f_TEL_HOME_2" hidden="1">Data!$I$2</definedName>
    <definedName name="f_TEL_HOMEFAX_1" hidden="1">Data!#REF!</definedName>
    <definedName name="f_TEL_OTHER_1" hidden="1">Data!#REF!</definedName>
    <definedName name="f_TEL_WORK_1" hidden="1">Data!$J$2</definedName>
    <definedName name="f_TEL_WORK_2" hidden="1">Data!$K$2</definedName>
    <definedName name="f_TEL_WORK_3" hidden="1">Data!$AA$2</definedName>
    <definedName name="f_TEL_WORK_4" hidden="1">Data!$AB$2</definedName>
    <definedName name="f_TEL_WORK_5" hidden="1">Data!$AC$2</definedName>
    <definedName name="f_TEL_WORKFAX_1" hidden="1">Data!#REF!</definedName>
    <definedName name="f_TITLE" hidden="1">Data!$S$2</definedName>
    <definedName name="f_URL_1" hidden="1">Data!$T$2</definedName>
    <definedName name="f_URL_10" hidden="1">Data!$AS$2</definedName>
    <definedName name="f_URL_11" hidden="1">Data!$AT$2</definedName>
    <definedName name="f_URL_12" hidden="1">Data!$AU$2</definedName>
    <definedName name="f_URL_13" hidden="1">Data!$AV$2</definedName>
    <definedName name="f_URL_14" hidden="1">Data!$AW$2</definedName>
    <definedName name="f_URL_2" hidden="1">Data!$U$2</definedName>
    <definedName name="f_URL_3" hidden="1">Data!$AJ$2</definedName>
    <definedName name="f_URL_4" hidden="1">Data!$AK$2</definedName>
    <definedName name="f_URL_5" hidden="1">Data!$AN$2</definedName>
    <definedName name="f_URL_6" hidden="1">Data!$AO$2</definedName>
    <definedName name="f_URL_7" hidden="1">Data!$AP$2</definedName>
    <definedName name="f_URL_8" hidden="1">Data!$AQ$2</definedName>
    <definedName name="f_URL_9" hidden="1">Data!$AR$2</definedName>
    <definedName name="fields_hdr">Fields!$E:$F</definedName>
    <definedName name="fields_keys">Fields!$A:$A</definedName>
    <definedName name="lang_data">Strings!$C$2:$D$141</definedName>
    <definedName name="lang_no" hidden="1">Settings!$E$3</definedName>
    <definedName name="opt_cp" hidden="1">INDEX(opt_cp_tbl,0,lang_no)</definedName>
    <definedName name="opt_cp_tbl" hidden="1">Settings!$H$8:$I$14</definedName>
    <definedName name="opt_dup" hidden="1">INDEX(opt_dup_tbl,0,lang_no)</definedName>
    <definedName name="opt_dup_tbl" hidden="1">Settings!$H$28:$I$29</definedName>
    <definedName name="opt_enc" hidden="1">INDEX(opt_enc_tbl,0,lang_no)</definedName>
    <definedName name="opt_enc_tbl" hidden="1">Settings!$H$5:$I$7</definedName>
    <definedName name="opt_fn" hidden="1">INDEX(opt_fn_tbl,0,lang_no)</definedName>
    <definedName name="opt_fn_tbl" hidden="1">Settings!$H$17:$I$18</definedName>
    <definedName name="opt_lang" hidden="1">INDEX(opt_lang_tbl,0,lang_no)</definedName>
    <definedName name="opt_lang_tbl" hidden="1">Settings!$H$3:$I$4</definedName>
    <definedName name="opt_phone" hidden="1">INDEX(opt_phone_tbl,0,lang_no)</definedName>
    <definedName name="opt_phone_tbl" hidden="1">Settings!$H$22:$I$25</definedName>
    <definedName name="opt_scope" hidden="1">INDEX(opt_scope_tbl,0,lang_no)</definedName>
    <definedName name="opt_scope_tbl" hidden="1">Settings!$H$26:$I$27</definedName>
    <definedName name="opt_untyped" hidden="1">INDEX(opt_untyped_tbl,0,lang_no)</definedName>
    <definedName name="opt_untyped_tbl" hidden="1">Settings!$H$19:$I$21</definedName>
    <definedName name="opt_yesno" hidden="1">INDEX(opt_yesno_tbl,0,lang_no)</definedName>
    <definedName name="opt_yesno_tbl" hidden="1">Settings!$H$15:$I$16</definedName>
    <definedName name="set_add_missing" hidden="1">Settings!$B$6</definedName>
    <definedName name="set_ansi_codepage" hidden="1">Settings!$B$5</definedName>
    <definedName name="set_country_code" hidden="1">Settings!$B$12</definedName>
    <definedName name="set_dup_match" hidden="1">Settings!$B$17</definedName>
    <definedName name="set_export_bom" hidden="1">Settings!$B$7</definedName>
    <definedName name="set_export_scope" hidden="1">Settings!$B$14</definedName>
    <definedName name="set_fn_format" hidden="1">Settings!$B$9</definedName>
    <definedName name="set_fold_lines" hidden="1">Settings!$B$8</definedName>
    <definedName name="set_highlight" hidden="1">Settings!$B$15</definedName>
    <definedName name="set_import_encoding" hidden="1">Settings!$B$4</definedName>
    <definedName name="set_lang" hidden="1">Settings!$B$3</definedName>
    <definedName name="set_phone_format" hidden="1">Settings!$B$11</definedName>
    <definedName name="set_trunk_prefix" hidden="1">Settings!$B$13</definedName>
    <definedName name="set_untyped_phone" hidden="1">Settings!$B$10</definedName>
    <definedName name="set_write_log" hidden="1">Settings!$B$16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6" l="1"/>
  <c r="C17" i="6" s="1"/>
  <c r="B2" i="3" l="1"/>
  <c r="F2" i="3"/>
  <c r="J2" i="3"/>
  <c r="N2" i="3"/>
  <c r="AT2" i="3"/>
  <c r="V2" i="3"/>
  <c r="AD2" i="3"/>
  <c r="AH2" i="3"/>
  <c r="AL2" i="3"/>
  <c r="AP2" i="3"/>
  <c r="A2" i="3"/>
  <c r="G2" i="3"/>
  <c r="K2" i="3"/>
  <c r="O2" i="3"/>
  <c r="S2" i="3"/>
  <c r="W2" i="3"/>
  <c r="AA2" i="3"/>
  <c r="AE2" i="3"/>
  <c r="AI2" i="3"/>
  <c r="AM2" i="3"/>
  <c r="AQ2" i="3"/>
  <c r="AU2" i="3"/>
  <c r="R2" i="3"/>
  <c r="Z2" i="3"/>
  <c r="D2" i="3"/>
  <c r="L2" i="3"/>
  <c r="T2" i="3"/>
  <c r="AB2" i="3"/>
  <c r="AF2" i="3"/>
  <c r="AJ2" i="3"/>
  <c r="AN2" i="3"/>
  <c r="AR2" i="3"/>
  <c r="AV2" i="3"/>
  <c r="H2" i="3"/>
  <c r="P2" i="3"/>
  <c r="X2" i="3"/>
  <c r="C2" i="3"/>
  <c r="E2" i="3"/>
  <c r="I2" i="3"/>
  <c r="M2" i="3"/>
  <c r="Q2" i="3"/>
  <c r="U2" i="3"/>
  <c r="Y2" i="3"/>
  <c r="AC2" i="3"/>
  <c r="AG2" i="3"/>
  <c r="AK2" i="3"/>
  <c r="AO2" i="3"/>
  <c r="AS2" i="3"/>
  <c r="AW2" i="3"/>
  <c r="A2" i="6"/>
  <c r="A5" i="6"/>
  <c r="A7" i="6"/>
  <c r="A9" i="6"/>
  <c r="A11" i="6"/>
  <c r="A15" i="6"/>
  <c r="B2" i="6"/>
  <c r="A1" i="6"/>
  <c r="C2" i="6"/>
  <c r="A4" i="6"/>
  <c r="A6" i="6"/>
  <c r="A8" i="6"/>
  <c r="A10" i="6"/>
  <c r="A12" i="6"/>
  <c r="A14" i="6"/>
  <c r="A16" i="6"/>
  <c r="C3" i="6"/>
  <c r="A13" i="6"/>
  <c r="B1" i="6"/>
  <c r="A3" i="6"/>
  <c r="C4" i="6"/>
  <c r="C6" i="6"/>
  <c r="C8" i="6"/>
  <c r="C10" i="6"/>
  <c r="C12" i="6"/>
  <c r="C14" i="6"/>
  <c r="C16" i="6"/>
  <c r="A17" i="6"/>
  <c r="C5" i="6"/>
  <c r="C7" i="6"/>
  <c r="C9" i="6"/>
  <c r="C11" i="6"/>
  <c r="C13" i="6"/>
  <c r="C15" i="6"/>
</calcChain>
</file>

<file path=xl/sharedStrings.xml><?xml version="1.0" encoding="utf-8"?>
<sst xmlns="http://schemas.openxmlformats.org/spreadsheetml/2006/main" count="660" uniqueCount="450">
  <si>
    <t>2. ad</t>
  </si>
  <si>
    <t>Ad</t>
  </si>
  <si>
    <t>Soyad</t>
  </si>
  <si>
    <t>Doğ.Tar</t>
  </si>
  <si>
    <t>İş Fax</t>
  </si>
  <si>
    <t>Email Ev1</t>
  </si>
  <si>
    <t>Email Ev2</t>
  </si>
  <si>
    <t>Email Ev3</t>
  </si>
  <si>
    <t>Email İş1</t>
  </si>
  <si>
    <t>Email İş2</t>
  </si>
  <si>
    <t>Şirket</t>
  </si>
  <si>
    <t>Ünvanı</t>
  </si>
  <si>
    <t>Grup</t>
  </si>
  <si>
    <t>Notlar</t>
  </si>
  <si>
    <t>Cep Telefonu1</t>
  </si>
  <si>
    <t>Cep Telefonu2</t>
  </si>
  <si>
    <t>Cep Telefonu3</t>
  </si>
  <si>
    <t>İş Telefonu1</t>
  </si>
  <si>
    <t>İş Telefonu2</t>
  </si>
  <si>
    <t>Adres Ev</t>
  </si>
  <si>
    <t>Adres İş</t>
  </si>
  <si>
    <t>Web Adresi1</t>
  </si>
  <si>
    <t>Web Adresi2</t>
  </si>
  <si>
    <t>First Name</t>
  </si>
  <si>
    <t>Middle Name</t>
  </si>
  <si>
    <t>Last Name</t>
  </si>
  <si>
    <t>Organization</t>
  </si>
  <si>
    <t>Title</t>
  </si>
  <si>
    <t>Notes</t>
  </si>
  <si>
    <t>English</t>
  </si>
  <si>
    <t>Turkish</t>
  </si>
  <si>
    <t>Home Phone1</t>
  </si>
  <si>
    <t>Home Phone2</t>
  </si>
  <si>
    <t>Ev Telefonu1</t>
  </si>
  <si>
    <t>Ev Telefonu2</t>
  </si>
  <si>
    <t>Work Phone1</t>
  </si>
  <si>
    <t>Work Phone2</t>
  </si>
  <si>
    <t>Mobile Phone1</t>
  </si>
  <si>
    <t>Mobile Phone2</t>
  </si>
  <si>
    <t>Mobile Phone3</t>
  </si>
  <si>
    <t>Work Fax</t>
  </si>
  <si>
    <t>Home Email1</t>
  </si>
  <si>
    <t>Home Email2</t>
  </si>
  <si>
    <t>Home Email3</t>
  </si>
  <si>
    <t>Work Email1</t>
  </si>
  <si>
    <t>Work Email2</t>
  </si>
  <si>
    <t>Home Address</t>
  </si>
  <si>
    <t>Work Address</t>
  </si>
  <si>
    <t>Group</t>
  </si>
  <si>
    <t>Website1</t>
  </si>
  <si>
    <t>Website2</t>
  </si>
  <si>
    <t>Contacts</t>
  </si>
  <si>
    <t>Kişiler</t>
  </si>
  <si>
    <t>Birthday</t>
  </si>
  <si>
    <t>vCard Files</t>
  </si>
  <si>
    <t>vCard Dosyaları</t>
  </si>
  <si>
    <t>Lütfen kaydedilecek dosyayı belirtiniz</t>
  </si>
  <si>
    <t>Please specify the file to save</t>
  </si>
  <si>
    <t>The file already exists!</t>
  </si>
  <si>
    <t>Dosya zaten var!</t>
  </si>
  <si>
    <t>Do you want to overwrite it?</t>
  </si>
  <si>
    <t>Dosya üzerine yazılsın mı?</t>
  </si>
  <si>
    <t>contacts are exported to</t>
  </si>
  <si>
    <t>kişi şu dosyaya aktarıldı</t>
  </si>
  <si>
    <t>No contact data found</t>
  </si>
  <si>
    <t>Herhangi bir kişi verisi bulunamadı</t>
  </si>
  <si>
    <t>Mesut Akcan</t>
  </si>
  <si>
    <t>makcan@gmail.com</t>
  </si>
  <si>
    <t>THIS PROGRAM HAS NO WARRANTY</t>
  </si>
  <si>
    <t>GitHub:</t>
  </si>
  <si>
    <t>N</t>
  </si>
  <si>
    <t>Auto</t>
  </si>
  <si>
    <t>Türkçe</t>
  </si>
  <si>
    <t>windows-1254 (Turkish)</t>
  </si>
  <si>
    <t>Otomatik</t>
  </si>
  <si>
    <t>Yes</t>
  </si>
  <si>
    <t>UTF-8</t>
  </si>
  <si>
    <t>No</t>
  </si>
  <si>
    <t>ANSI</t>
  </si>
  <si>
    <t>windows-1254 (Türkçe)</t>
  </si>
  <si>
    <t>First Middle Last</t>
  </si>
  <si>
    <t>windows-1252 (Western)</t>
  </si>
  <si>
    <t>windows-1252 (Batı Avrupa)</t>
  </si>
  <si>
    <t>Mobile</t>
  </si>
  <si>
    <t>windows-1250 (Central European)</t>
  </si>
  <si>
    <t>windows-1250 (Orta Avrupa)</t>
  </si>
  <si>
    <t>Off</t>
  </si>
  <si>
    <t>windows-1251 (Cyrillic)</t>
  </si>
  <si>
    <t>windows-1251 (Kiril)</t>
  </si>
  <si>
    <t>90</t>
  </si>
  <si>
    <t>windows-1253 (Greek)</t>
  </si>
  <si>
    <t>windows-1253 (Yunanca)</t>
  </si>
  <si>
    <t>0</t>
  </si>
  <si>
    <t>windows-1257 (Baltic)</t>
  </si>
  <si>
    <t>windows-1257 (Baltık)</t>
  </si>
  <si>
    <t>All rows</t>
  </si>
  <si>
    <t>iso-8859-9 (Turkish ISO)</t>
  </si>
  <si>
    <t>iso-8859-9 (Türkçe ISO)</t>
  </si>
  <si>
    <t>Evet</t>
  </si>
  <si>
    <t>Hayır</t>
  </si>
  <si>
    <t>All columns</t>
  </si>
  <si>
    <t>Ad 2. Ad Soyad</t>
  </si>
  <si>
    <t>Last First</t>
  </si>
  <si>
    <t>Soyad Ad</t>
  </si>
  <si>
    <t>Cep</t>
  </si>
  <si>
    <t>Home</t>
  </si>
  <si>
    <t>Ev</t>
  </si>
  <si>
    <t>Work</t>
  </si>
  <si>
    <t>İş</t>
  </si>
  <si>
    <t>Kapalı</t>
  </si>
  <si>
    <t>On import</t>
  </si>
  <si>
    <t>İçe aktarırken</t>
  </si>
  <si>
    <t>On export</t>
  </si>
  <si>
    <t>Dışa aktarırken</t>
  </si>
  <si>
    <t>Both</t>
  </si>
  <si>
    <t>İkisinde de</t>
  </si>
  <si>
    <t>Tüm satırlar</t>
  </si>
  <si>
    <t>Selected rows</t>
  </si>
  <si>
    <t>Seçili satırlar</t>
  </si>
  <si>
    <t>Tüm sütunlar</t>
  </si>
  <si>
    <t>Name columns</t>
  </si>
  <si>
    <t>Ad sütunları</t>
  </si>
  <si>
    <t>Key</t>
  </si>
  <si>
    <t>Property</t>
  </si>
  <si>
    <t>Parameters</t>
  </si>
  <si>
    <t>Family</t>
  </si>
  <si>
    <t>Header (English)</t>
  </si>
  <si>
    <t>Header (Turkish)</t>
  </si>
  <si>
    <t>Each row is one Data column. Headers can be edited here. A column is found through its hidden name f_&lt;Key&gt;, so columns can be moved freely; columns deleted from the Data sheet are recreated on import when Add missing columns is on.</t>
  </si>
  <si>
    <t>GIVEN</t>
  </si>
  <si>
    <t/>
  </si>
  <si>
    <t>N_GIVEN</t>
  </si>
  <si>
    <t>MIDDLE</t>
  </si>
  <si>
    <t>N_MIDDLE</t>
  </si>
  <si>
    <t>FAMILY</t>
  </si>
  <si>
    <t>N_FAMILY</t>
  </si>
  <si>
    <t>BDAY</t>
  </si>
  <si>
    <t>TEL_CELL_1</t>
  </si>
  <si>
    <t>TEL</t>
  </si>
  <si>
    <t>TYPE=CELL</t>
  </si>
  <si>
    <t>TEL|CELL</t>
  </si>
  <si>
    <t>TEL_CELL_2</t>
  </si>
  <si>
    <t>TEL_CELL_3</t>
  </si>
  <si>
    <t>TEL_HOME_1</t>
  </si>
  <si>
    <t>TYPE=HOME</t>
  </si>
  <si>
    <t>TEL|HOME</t>
  </si>
  <si>
    <t>TEL_HOME_2</t>
  </si>
  <si>
    <t>TEL_WORK_1</t>
  </si>
  <si>
    <t>TYPE=WORK</t>
  </si>
  <si>
    <t>TEL|WORK</t>
  </si>
  <si>
    <t>TEL_WORK_2</t>
  </si>
  <si>
    <t>TEL_WORKFAX_1</t>
  </si>
  <si>
    <t>TYPE=WORK,FAX</t>
  </si>
  <si>
    <t>TEL|WORKFAX</t>
  </si>
  <si>
    <t>EMAIL_HOME_1</t>
  </si>
  <si>
    <t>EMAIL</t>
  </si>
  <si>
    <t>TYPE=HOME;TYPE=INTERNET</t>
  </si>
  <si>
    <t>EMAIL|HOME</t>
  </si>
  <si>
    <t>EMAIL_HOME_2</t>
  </si>
  <si>
    <t>EMAIL_HOME_3</t>
  </si>
  <si>
    <t>EMAIL_WORK_1</t>
  </si>
  <si>
    <t>TYPE=WORK;TYPE=INTERNET</t>
  </si>
  <si>
    <t>EMAIL|WORK</t>
  </si>
  <si>
    <t>EMAIL_WORK_2</t>
  </si>
  <si>
    <t>ADR_HOME</t>
  </si>
  <si>
    <t>ADR</t>
  </si>
  <si>
    <t>ADR|HOME</t>
  </si>
  <si>
    <t>ADR_WORK</t>
  </si>
  <si>
    <t>ADR|WORK</t>
  </si>
  <si>
    <t>ORG</t>
  </si>
  <si>
    <t>TITLE</t>
  </si>
  <si>
    <t>URL_1</t>
  </si>
  <si>
    <t>URL</t>
  </si>
  <si>
    <t>URL_2</t>
  </si>
  <si>
    <t>CATEGORIES</t>
  </si>
  <si>
    <t>NOTE</t>
  </si>
  <si>
    <t>PREFIX</t>
  </si>
  <si>
    <t>N_PREFIX</t>
  </si>
  <si>
    <t>Name Prefix</t>
  </si>
  <si>
    <t>Ön Ek</t>
  </si>
  <si>
    <t>SUFFIX</t>
  </si>
  <si>
    <t>N_SUFFIX</t>
  </si>
  <si>
    <t>Name Suffix</t>
  </si>
  <si>
    <t>Son Ek</t>
  </si>
  <si>
    <t>FN</t>
  </si>
  <si>
    <t>Display Name</t>
  </si>
  <si>
    <t>Görünen Ad</t>
  </si>
  <si>
    <t>NICKNAME</t>
  </si>
  <si>
    <t>Nickname</t>
  </si>
  <si>
    <t>Takma Ad</t>
  </si>
  <si>
    <t>ROLE</t>
  </si>
  <si>
    <t>Role</t>
  </si>
  <si>
    <t>Rol</t>
  </si>
  <si>
    <t>TEL_OTHER_1</t>
  </si>
  <si>
    <t>TYPE=OTHER</t>
  </si>
  <si>
    <t>TEL|OTHER</t>
  </si>
  <si>
    <t>Other Phone</t>
  </si>
  <si>
    <t>Diğer Telefon</t>
  </si>
  <si>
    <t>TEL_HOMEFAX_1</t>
  </si>
  <si>
    <t>TYPE=HOME,FAX</t>
  </si>
  <si>
    <t>TEL|HOMEFAX</t>
  </si>
  <si>
    <t>Home Fax</t>
  </si>
  <si>
    <t>Ev Fax</t>
  </si>
  <si>
    <t>EMAIL_OTHER_1</t>
  </si>
  <si>
    <t>TYPE=OTHER;TYPE=INTERNET</t>
  </si>
  <si>
    <t>EMAIL|OTHER</t>
  </si>
  <si>
    <t>Other Email</t>
  </si>
  <si>
    <t>Email Diğer</t>
  </si>
  <si>
    <t>ADR_OTHER</t>
  </si>
  <si>
    <t>ADR|OTHER</t>
  </si>
  <si>
    <t>Other Address</t>
  </si>
  <si>
    <t>Adres Diğer</t>
  </si>
  <si>
    <t>Export</t>
  </si>
  <si>
    <t>contacts not saved because they do not have name or company information</t>
  </si>
  <si>
    <t>kişi ad veya şirket bilgisi olmadığı için kaydedilmedi</t>
  </si>
  <si>
    <t>An error occurred</t>
  </si>
  <si>
    <t>Bir hata oluştu</t>
  </si>
  <si>
    <t>Row numbers</t>
  </si>
  <si>
    <t>Satır numaraları</t>
  </si>
  <si>
    <t>contacts have an invalid birthday (ignored)</t>
  </si>
  <si>
    <t>kişinin doğum tarihi geçersiz (yok sayıldı)</t>
  </si>
  <si>
    <t>contacts hidden by a filter were skipped</t>
  </si>
  <si>
    <t>filtre ile gizlenen kişi atlandı</t>
  </si>
  <si>
    <t>Import</t>
  </si>
  <si>
    <t>Please select the vCard file to import</t>
  </si>
  <si>
    <t>Lütfen içe aktarılacak vCard dosyasını seçiniz</t>
  </si>
  <si>
    <t>No contacts found in the selected file</t>
  </si>
  <si>
    <t>Seçilen dosyada kişi bulunamadı</t>
  </si>
  <si>
    <t>The following vCard fields have no column on the Data sheet and will be skipped:</t>
  </si>
  <si>
    <t>Aşağıdaki vCard alanlarının Data sayfasında sütunu yok ve atlanacak:</t>
  </si>
  <si>
    <t>Do you want to import the contacts?</t>
  </si>
  <si>
    <t>Kişiler içe aktarılsın mı?</t>
  </si>
  <si>
    <t>contacts imported to rows</t>
  </si>
  <si>
    <t>kişi şu satırlara aktarıldı</t>
  </si>
  <si>
    <t>Encoding</t>
  </si>
  <si>
    <t>Kodlama</t>
  </si>
  <si>
    <t>The file is not valid UTF-8 and was read as ANSI. If characters look wrong, convert the file to UTF-8 (the vCard standard) or change the encoding on the Settings sheet.</t>
  </si>
  <si>
    <t>Dosya geçerli UTF-8 değil ve ANSI olarak okundu. Karakterler yanlış görünüyorsa dosyayı UTF-8'e (vCard standardı) dönüştürün veya Ayarlar sayfasından kodlamayı değiştirin.</t>
  </si>
  <si>
    <t>First contacts</t>
  </si>
  <si>
    <t>İlk kişiler</t>
  </si>
  <si>
    <t>contacts found</t>
  </si>
  <si>
    <t>kişi bulundu</t>
  </si>
  <si>
    <t>Remove Duplicates</t>
  </si>
  <si>
    <t>Yinelenenleri Kaldır</t>
  </si>
  <si>
    <t>Clear Data</t>
  </si>
  <si>
    <t>Verileri Temizle</t>
  </si>
  <si>
    <t>Settings</t>
  </si>
  <si>
    <t>Ayarlar</t>
  </si>
  <si>
    <t>Language</t>
  </si>
  <si>
    <t>Dil</t>
  </si>
  <si>
    <t>Language of headers, buttons and messages</t>
  </si>
  <si>
    <t>Başlıkların, düğmelerin ve mesajların dili</t>
  </si>
  <si>
    <t>Import encoding</t>
  </si>
  <si>
    <t>İçe aktarma kodlaması</t>
  </si>
  <si>
    <t>Auto uses UTF-8 when the file is valid UTF-8, otherwise the ANSI code page below</t>
  </si>
  <si>
    <t>Otomatik: dosya geçerli UTF-8 ise UTF-8, değilse aşağıdaki ANSI kod sayfası kullanılır</t>
  </si>
  <si>
    <t>ANSI code page</t>
  </si>
  <si>
    <t>ANSI kod sayfası</t>
  </si>
  <si>
    <t>Used for files that are not UTF-8 (or when ANSI is selected above)</t>
  </si>
  <si>
    <t>UTF-8 olmayan dosyalar için (veya yukarıda ANSI seçilirse) kullanılır</t>
  </si>
  <si>
    <t>Add missing columns on import</t>
  </si>
  <si>
    <t>İçe aktarmada eksik sütunları ekle</t>
  </si>
  <si>
    <t>Adds columns for vCard fields and extra values that have no column on the Data sheet</t>
  </si>
  <si>
    <t>Data sayfasında sütunu olmayan vCard alanları ve fazla değerler için sütun ekler</t>
  </si>
  <si>
    <t>Export UTF-8 BOM</t>
  </si>
  <si>
    <t>Dışa aktarmada UTF-8 BOM</t>
  </si>
  <si>
    <t>Some programs (for example classic Outlook) need a BOM to read UTF-8</t>
  </si>
  <si>
    <t>Bazı programlar (ör. klasik Outlook) UTF-8 okumak için BOM gerektirir</t>
  </si>
  <si>
    <t>Fold long lines on export</t>
  </si>
  <si>
    <t>Dışa aktarmada uzun satırları katla</t>
  </si>
  <si>
    <t>Folds lines at 75 bytes as the vCard standard recommends</t>
  </si>
  <si>
    <t>vCard standardının önerdiği gibi satırları 75 baytta katlar</t>
  </si>
  <si>
    <t>Display name format</t>
  </si>
  <si>
    <t>Görünen ad biçimi</t>
  </si>
  <si>
    <t>Used for FN when the Display Name column is empty</t>
  </si>
  <si>
    <t>Görünen Ad sütunu boşsa FN için kullanılır</t>
  </si>
  <si>
    <t>Untyped phone numbers</t>
  </si>
  <si>
    <t>Tipsiz telefon numaraları</t>
  </si>
  <si>
    <t>Column group for imported numbers that have no type</t>
  </si>
  <si>
    <t>Tipi olmayan numaraların aktarılacağı sütun grubu</t>
  </si>
  <si>
    <t>Format phone numbers</t>
  </si>
  <si>
    <t>Telefon numaralarını biçimle</t>
  </si>
  <si>
    <t>Converts numbers to the international format (+905321234567); numbers that are not recognized are left unchanged and logged</t>
  </si>
  <si>
    <t>Numaraları uluslararası biçime (+905321234567) çevirir; tanınmayanlar değiştirilmez ve Log'a yazılır</t>
  </si>
  <si>
    <t>Country code</t>
  </si>
  <si>
    <t>Ülke kodu</t>
  </si>
  <si>
    <t>Default country code for national numbers, digits only, for example 90</t>
  </si>
  <si>
    <t>Ulusal numaralar için varsayılan ülke kodu, yalnızca rakam, ör. 90</t>
  </si>
  <si>
    <t>Export scope</t>
  </si>
  <si>
    <t>Dışa aktarma kapsamı</t>
  </si>
  <si>
    <t>All rows, or only the rows of the current selection</t>
  </si>
  <si>
    <t>Tüm satırlar veya yalnızca seçili satırlar</t>
  </si>
  <si>
    <t>Highlight imported rows</t>
  </si>
  <si>
    <t>İçe aktarılan satırları renklendir</t>
  </si>
  <si>
    <t>Marks the new rows so they are easy to find</t>
  </si>
  <si>
    <t>Yeni satırları kolay bulunsun diye işaretler</t>
  </si>
  <si>
    <t>Write Log sheet</t>
  </si>
  <si>
    <t>Log sayfası oluştur</t>
  </si>
  <si>
    <t>Lists skipped and invalid items after import and export</t>
  </si>
  <si>
    <t>İçe/dışa aktarmadan sonra atlanan ve geçersiz öğeleri listeler</t>
  </si>
  <si>
    <t>Duplicate match</t>
  </si>
  <si>
    <t>Yineleme ölçütü</t>
  </si>
  <si>
    <t>Columns compared by Remove Duplicates</t>
  </si>
  <si>
    <t>Yinelenenleri Kaldır'ın karşılaştırdığı sütunlar</t>
  </si>
  <si>
    <t>Remove duplicate rows? This cannot be undone.</t>
  </si>
  <si>
    <t>Yinelenen satırlar kaldırılsın mı? Bu işlem geri alınamaz.</t>
  </si>
  <si>
    <t>duplicate rows removed</t>
  </si>
  <si>
    <t>yinelenen satır kaldırıldı</t>
  </si>
  <si>
    <t>No duplicate rows found</t>
  </si>
  <si>
    <t>Yinelenen satır bulunamadı</t>
  </si>
  <si>
    <t>Clear the filter first</t>
  </si>
  <si>
    <t>Önce filtreyi temizleyin</t>
  </si>
  <si>
    <t>Delete all contact rows from the Data sheet? This cannot be undone.</t>
  </si>
  <si>
    <t>Data sayfasındaki tüm kişi satırları silinsin mi? Bu işlem geri alınamaz.</t>
  </si>
  <si>
    <t>rows deleted</t>
  </si>
  <si>
    <t>satır silindi</t>
  </si>
  <si>
    <t>No contact rows are selected</t>
  </si>
  <si>
    <t>Seçili kişi satırı yok</t>
  </si>
  <si>
    <t>New columns that will be added:</t>
  </si>
  <si>
    <t>Eklenecek yeni sütunlar:</t>
  </si>
  <si>
    <t>Operation</t>
  </si>
  <si>
    <t>İşlem</t>
  </si>
  <si>
    <t>Contact</t>
  </si>
  <si>
    <t>Kişi</t>
  </si>
  <si>
    <t>Field</t>
  </si>
  <si>
    <t>Alan</t>
  </si>
  <si>
    <t>Reason</t>
  </si>
  <si>
    <t>Neden</t>
  </si>
  <si>
    <t>Value</t>
  </si>
  <si>
    <t>Değer</t>
  </si>
  <si>
    <t>No name or organization</t>
  </si>
  <si>
    <t>Ad veya şirket yok</t>
  </si>
  <si>
    <t>Invalid birthday</t>
  </si>
  <si>
    <t>Geçersiz doğum tarihi</t>
  </si>
  <si>
    <t>No column for this field</t>
  </si>
  <si>
    <t>Bu alan için sütun yok</t>
  </si>
  <si>
    <t>No free column for this value</t>
  </si>
  <si>
    <t>Bu değer için boş sütun yok</t>
  </si>
  <si>
    <t>İçe aktarma</t>
  </si>
  <si>
    <t>Dışa aktarma</t>
  </si>
  <si>
    <t>Details were written to the Log sheet</t>
  </si>
  <si>
    <t>Ayrıntılar Log sayfasına yazıldı</t>
  </si>
  <si>
    <t>Reading file...</t>
  </si>
  <si>
    <t>Dosya okunuyor...</t>
  </si>
  <si>
    <t>Parsing contacts...</t>
  </si>
  <si>
    <t>Kişiler ayrıştırılıyor...</t>
  </si>
  <si>
    <t>Writing contacts...</t>
  </si>
  <si>
    <t>Kişiler yazılıyor...</t>
  </si>
  <si>
    <t>Column limit for one import reached</t>
  </si>
  <si>
    <t>Tek içe aktarmadaki sütun sınırına ulaşıldı</t>
  </si>
  <si>
    <t>Setting</t>
  </si>
  <si>
    <t>Ayar</t>
  </si>
  <si>
    <t>Description</t>
  </si>
  <si>
    <t>Açıklama</t>
  </si>
  <si>
    <t>Binary data (photos, logos, sounds, keys) is not imported</t>
  </si>
  <si>
    <t>İkili veriler (fotoğraf, logo, ses, anahtar) içe aktarılmaz</t>
  </si>
  <si>
    <t>National prefix</t>
  </si>
  <si>
    <t>Ulusal önek</t>
  </si>
  <si>
    <t>Dialed before national numbers: 0 (Turkey, UK, Germany), 1 (US, Canada), 8 (Russia); leave empty if none</t>
  </si>
  <si>
    <t>Ulusal numaraların başına çevrilen önek: 0 (Türkiye, İngiltere, Almanya), 1 (ABD, Kanada), 8 (Rusya); yoksa boş bırakın</t>
  </si>
  <si>
    <t>Phone numbers</t>
  </si>
  <si>
    <t>Telefon numaraları</t>
  </si>
  <si>
    <t>formatted</t>
  </si>
  <si>
    <t>biçimlendirilecek</t>
  </si>
  <si>
    <t>left unchanged</t>
  </si>
  <si>
    <t>değiştirilmeyecek</t>
  </si>
  <si>
    <t>Phone number not recognized; left unchanged</t>
  </si>
  <si>
    <t>Telefon numarası tanınmadı; değiştirilmedi</t>
  </si>
  <si>
    <t>Back to Data</t>
  </si>
  <si>
    <t>Data sayfasına dön</t>
  </si>
  <si>
    <t>TEL_WORK_3</t>
  </si>
  <si>
    <t>Work Phone3</t>
  </si>
  <si>
    <t>İş Telefonu3</t>
  </si>
  <si>
    <t>TEL_WORK_4</t>
  </si>
  <si>
    <t>Work Phone4</t>
  </si>
  <si>
    <t>İş Telefonu4</t>
  </si>
  <si>
    <t>TEL_WORK_5</t>
  </si>
  <si>
    <t>Work Phone5</t>
  </si>
  <si>
    <t>İş Telefonu5</t>
  </si>
  <si>
    <t>ADR_HOME2</t>
  </si>
  <si>
    <t>Home Address2</t>
  </si>
  <si>
    <t>Adres Ev2</t>
  </si>
  <si>
    <t>ADR_HOME3</t>
  </si>
  <si>
    <t>Home Address3</t>
  </si>
  <si>
    <t>Adres Ev3</t>
  </si>
  <si>
    <t>ADR_WORK2</t>
  </si>
  <si>
    <t>Work Address2</t>
  </si>
  <si>
    <t>Adres İş2</t>
  </si>
  <si>
    <t>ADR_HOME4</t>
  </si>
  <si>
    <t>Home Address4</t>
  </si>
  <si>
    <t>Adres Ev4</t>
  </si>
  <si>
    <t>TEL_CELL_4</t>
  </si>
  <si>
    <t>Mobile Phone4</t>
  </si>
  <si>
    <t>Cep Telefonu4</t>
  </si>
  <si>
    <t>TEL_CELL_5</t>
  </si>
  <si>
    <t>Mobile Phone5</t>
  </si>
  <si>
    <t>Cep Telefonu5</t>
  </si>
  <si>
    <t>URL_3</t>
  </si>
  <si>
    <t>Website3</t>
  </si>
  <si>
    <t>Web Adresi3</t>
  </si>
  <si>
    <t>URL_4</t>
  </si>
  <si>
    <t>Website4</t>
  </si>
  <si>
    <t>Web Adresi4</t>
  </si>
  <si>
    <t>EMAIL_HOME_4</t>
  </si>
  <si>
    <t>Home Email4</t>
  </si>
  <si>
    <t>Email Ev4</t>
  </si>
  <si>
    <t>EMAIL_HOME_5</t>
  </si>
  <si>
    <t>Home Email5</t>
  </si>
  <si>
    <t>Email Ev5</t>
  </si>
  <si>
    <t>URL_5</t>
  </si>
  <si>
    <t>Website5</t>
  </si>
  <si>
    <t>Web Adresi5</t>
  </si>
  <si>
    <t>URL_6</t>
  </si>
  <si>
    <t>Website6</t>
  </si>
  <si>
    <t>Web Adresi6</t>
  </si>
  <si>
    <t>URL_7</t>
  </si>
  <si>
    <t>Website7</t>
  </si>
  <si>
    <t>Web Adresi7</t>
  </si>
  <si>
    <t>URL_8</t>
  </si>
  <si>
    <t>Website8</t>
  </si>
  <si>
    <t>Web Adresi8</t>
  </si>
  <si>
    <t>URL_9</t>
  </si>
  <si>
    <t>Website9</t>
  </si>
  <si>
    <t>Web Adresi9</t>
  </si>
  <si>
    <t>URL_10</t>
  </si>
  <si>
    <t>Website10</t>
  </si>
  <si>
    <t>Web Adresi10</t>
  </si>
  <si>
    <t>URL_11</t>
  </si>
  <si>
    <t>Website11</t>
  </si>
  <si>
    <t>Web Adresi11</t>
  </si>
  <si>
    <t>URL_12</t>
  </si>
  <si>
    <t>Website12</t>
  </si>
  <si>
    <t>Web Adresi12</t>
  </si>
  <si>
    <t>URL_13</t>
  </si>
  <si>
    <t>Website13</t>
  </si>
  <si>
    <t>Web Adresi13</t>
  </si>
  <si>
    <t>URL_14</t>
  </si>
  <si>
    <t>Website14</t>
  </si>
  <si>
    <t>Web Adresi14</t>
  </si>
  <si>
    <t>Version: 2.0</t>
  </si>
  <si>
    <t>mesutakcan.blogspot.com</t>
  </si>
  <si>
    <t>youtube.com/mesutakcan</t>
  </si>
  <si>
    <t>Excel VCF Converter</t>
  </si>
  <si>
    <t>https://github.com/mesutakcan/Excel-VCF-Converter</t>
  </si>
  <si>
    <t>The software is provided "as is", without warranty of any kind. 
You are the sole person responsible for any potential data loss, 
corruption, or damages that may occur during the operation of 
this tool. Please backup your data before processing bulk modifications.</t>
  </si>
  <si>
    <t>Import VCF File</t>
  </si>
  <si>
    <t>VCF Dosya İçe Aktar</t>
  </si>
  <si>
    <t>Export VCF File</t>
  </si>
  <si>
    <t>VCF Dosyaya Aktar</t>
  </si>
  <si>
    <r>
      <t xml:space="preserve">This program converts contact data between Excel and vCard formats:
• </t>
    </r>
    <r>
      <rPr>
        <b/>
        <sz val="11"/>
        <rFont val="Calibri"/>
        <family val="2"/>
        <charset val="162"/>
      </rPr>
      <t>Import</t>
    </r>
    <r>
      <rPr>
        <sz val="11"/>
        <rFont val="Calibri"/>
        <family val="2"/>
        <charset val="162"/>
      </rPr>
      <t xml:space="preserve">: Imports vCard (.vcf) contacts into the Excel contact sheet.
• </t>
    </r>
    <r>
      <rPr>
        <b/>
        <sz val="11"/>
        <rFont val="Calibri"/>
        <family val="2"/>
        <charset val="162"/>
      </rPr>
      <t>Export</t>
    </r>
    <r>
      <rPr>
        <sz val="11"/>
        <rFont val="Calibri"/>
        <family val="2"/>
        <charset val="162"/>
      </rPr>
      <t>: Exports Excel contact data as vCard 3.0 (.vcf) files.
Detailed information is available in the</t>
    </r>
    <r>
      <rPr>
        <b/>
        <sz val="11"/>
        <rFont val="Calibri"/>
        <family val="2"/>
        <charset val="162"/>
      </rPr>
      <t xml:space="preserve"> README.md</t>
    </r>
    <r>
      <rPr>
        <sz val="11"/>
        <rFont val="Calibri"/>
        <family val="2"/>
        <charset val="162"/>
      </rPr>
      <t xml:space="preserve"> file.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</si>
</sst>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name val="Arial"/>
      <charset val="161"/>
    </font>
    <font>
      <sz val="10"/>
      <name val="Arial Tur"/>
      <charset val="162"/>
    </font>
    <font>
      <sz val="10"/>
      <name val="Arial"/>
      <family val="2"/>
      <charset val="162"/>
    </font>
    <font>
      <sz val="11"/>
      <color theme="1"/>
      <name val="Calibri"/>
      <family val="2"/>
      <charset val="162"/>
      <scheme val="minor"/>
    </font>
    <font>
      <u/>
      <sz val="10"/>
      <color theme="10"/>
      <name val="Arial"/>
      <family val="2"/>
      <charset val="162"/>
    </font>
    <font>
      <b/>
      <sz val="11"/>
      <color theme="0"/>
      <name val="Calibri"/>
      <family val="2"/>
      <charset val="162"/>
      <scheme val="minor"/>
    </font>
    <font>
      <sz val="10"/>
      <name val="Calibri"/>
      <family val="2"/>
      <charset val="162"/>
      <scheme val="minor"/>
    </font>
    <font>
      <b/>
      <sz val="11"/>
      <name val="Calibri"/>
      <family val="2"/>
      <charset val="162"/>
      <scheme val="minor"/>
    </font>
    <font>
      <sz val="11"/>
      <name val="Calibri"/>
      <family val="2"/>
      <charset val="162"/>
      <scheme val="minor"/>
    </font>
    <font>
      <b/>
      <sz val="16"/>
      <color rgb="FF000000"/>
      <name val="Calibri"/>
      <family val="2"/>
      <charset val="162"/>
      <scheme val="minor"/>
    </font>
    <font>
      <sz val="10"/>
      <color theme="0" tint="-4.9989318521683403E-2"/>
      <name val="Calibri"/>
      <family val="2"/>
      <charset val="162"/>
      <scheme val="minor"/>
    </font>
    <font>
      <b/>
      <sz val="18"/>
      <color rgb="FF0000FF"/>
      <name val="Calibri"/>
      <family val="2"/>
      <charset val="162"/>
    </font>
    <font>
      <i/>
      <sz val="10"/>
      <color rgb="FF7F7F7F"/>
      <name val="Calibri"/>
      <family val="2"/>
      <charset val="162"/>
      <scheme val="minor"/>
    </font>
    <font>
      <b/>
      <sz val="11"/>
      <color rgb="FFFFFFFF"/>
      <name val="Calibri"/>
      <family val="2"/>
      <charset val="162"/>
      <scheme val="minor"/>
    </font>
    <font>
      <b/>
      <sz val="12"/>
      <color rgb="FF0000FF"/>
      <name val="Calibri"/>
      <family val="2"/>
      <charset val="162"/>
    </font>
    <font>
      <b/>
      <sz val="12"/>
      <color rgb="FFC00000"/>
      <name val="Calibri"/>
      <family val="2"/>
      <charset val="162"/>
    </font>
    <font>
      <b/>
      <sz val="14"/>
      <color rgb="FF0000FF"/>
      <name val="Calibri"/>
      <family val="2"/>
      <charset val="162"/>
    </font>
    <font>
      <b/>
      <sz val="10"/>
      <name val="Arial"/>
      <family val="2"/>
      <charset val="162"/>
    </font>
    <font>
      <b/>
      <sz val="26"/>
      <color theme="0"/>
      <name val="Calibri"/>
      <family val="2"/>
      <charset val="162"/>
      <scheme val="minor"/>
    </font>
    <font>
      <sz val="11"/>
      <color rgb="FF000000"/>
      <name val="Calibri"/>
      <family val="2"/>
      <charset val="162"/>
    </font>
    <font>
      <u/>
      <sz val="11"/>
      <color theme="10"/>
      <name val="Calibri"/>
      <family val="2"/>
      <charset val="162"/>
    </font>
    <font>
      <sz val="11"/>
      <name val="Calibri"/>
      <family val="2"/>
      <charset val="162"/>
    </font>
    <font>
      <b/>
      <sz val="11"/>
      <name val="Calibri"/>
      <family val="2"/>
      <charset val="162"/>
    </font>
    <font>
      <b/>
      <sz val="11"/>
      <color rgb="FFFF0000"/>
      <name val="Calibri"/>
      <family val="2"/>
      <charset val="162"/>
    </font>
    <font>
      <b/>
      <sz val="12"/>
      <color rgb="FF000000"/>
      <name val="Calibri"/>
      <family val="2"/>
      <charset val="162"/>
    </font>
    <font>
      <sz val="12"/>
      <color rgb="FF000000"/>
      <name val="Calibri"/>
      <family val="2"/>
      <charset val="162"/>
    </font>
  </fonts>
  <fills count="9">
    <fill>
      <patternFill patternType="none"/>
    </fill>
    <fill>
      <patternFill patternType="gray125"/>
    </fill>
    <fill>
      <patternFill patternType="solid">
        <fgColor rgb="FFFFC000"/>
        <bgColor indexed="64"/>
      </patternFill>
    </fill>
    <fill>
      <patternFill patternType="solid">
        <fgColor rgb="FFFF5D5D"/>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rgb="FFFFF2CC"/>
        <bgColor indexed="64"/>
      </patternFill>
    </fill>
    <fill>
      <patternFill patternType="solid">
        <fgColor rgb="FF2F75B5"/>
        <bgColor indexed="64"/>
      </patternFill>
    </fill>
    <fill>
      <patternFill patternType="solid">
        <fgColor theme="4"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7">
    <xf numFmtId="0" fontId="0" fillId="0" borderId="0"/>
    <xf numFmtId="0" fontId="2" fillId="0" borderId="0"/>
    <xf numFmtId="0" fontId="2" fillId="0" borderId="0"/>
    <xf numFmtId="0" fontId="3" fillId="0" borderId="0"/>
    <xf numFmtId="0" fontId="3" fillId="0" borderId="0"/>
    <xf numFmtId="0" fontId="1" fillId="0" borderId="0"/>
    <xf numFmtId="0" fontId="4" fillId="0" borderId="0" applyNumberFormat="0" applyFill="0" applyBorder="0" applyAlignment="0" applyProtection="0"/>
  </cellStyleXfs>
  <cellXfs count="32">
    <xf numFmtId="0" fontId="0" fillId="0" borderId="0" xfId="0"/>
    <xf numFmtId="0" fontId="6" fillId="0" borderId="0" xfId="0" applyFont="1"/>
    <xf numFmtId="0" fontId="5" fillId="3" borderId="1" xfId="0" applyFont="1" applyFill="1" applyBorder="1"/>
    <xf numFmtId="0" fontId="8" fillId="0" borderId="0" xfId="0" applyFont="1"/>
    <xf numFmtId="0" fontId="8" fillId="0" borderId="1" xfId="0" applyFont="1" applyBorder="1"/>
    <xf numFmtId="0" fontId="10" fillId="0" borderId="0" xfId="0" applyFont="1"/>
    <xf numFmtId="0" fontId="8" fillId="2" borderId="1" xfId="0" applyFont="1" applyFill="1" applyBorder="1"/>
    <xf numFmtId="0" fontId="7" fillId="2" borderId="2" xfId="0" applyFont="1" applyFill="1" applyBorder="1"/>
    <xf numFmtId="0" fontId="8" fillId="5" borderId="1" xfId="0" applyFont="1" applyFill="1" applyBorder="1"/>
    <xf numFmtId="0" fontId="7" fillId="5" borderId="0" xfId="0" applyFont="1" applyFill="1"/>
    <xf numFmtId="49" fontId="8" fillId="0" borderId="0" xfId="0" applyNumberFormat="1" applyFont="1"/>
    <xf numFmtId="0" fontId="8" fillId="0" borderId="0" xfId="0" applyFont="1" applyAlignment="1">
      <alignment vertical="center" wrapText="1"/>
    </xf>
    <xf numFmtId="49" fontId="8" fillId="6" borderId="1" xfId="0" applyNumberFormat="1" applyFont="1" applyFill="1" applyBorder="1" applyAlignment="1" applyProtection="1">
      <alignment vertical="center"/>
      <protection locked="0"/>
    </xf>
    <xf numFmtId="0" fontId="12" fillId="0" borderId="0" xfId="0" applyFont="1" applyAlignment="1">
      <alignment vertical="center" wrapText="1"/>
    </xf>
    <xf numFmtId="0" fontId="9" fillId="0" borderId="0" xfId="0" applyFont="1"/>
    <xf numFmtId="0" fontId="7" fillId="2" borderId="1" xfId="0" applyFont="1" applyFill="1" applyBorder="1"/>
    <xf numFmtId="49" fontId="8" fillId="0" borderId="1" xfId="0" applyNumberFormat="1" applyFont="1" applyBorder="1"/>
    <xf numFmtId="0" fontId="13" fillId="7" borderId="1" xfId="0" applyFont="1" applyFill="1" applyBorder="1" applyAlignment="1">
      <alignment horizontal="center" vertical="center"/>
    </xf>
    <xf numFmtId="49" fontId="6" fillId="0" borderId="0" xfId="0" applyNumberFormat="1" applyFont="1"/>
    <xf numFmtId="49" fontId="0" fillId="0" borderId="0" xfId="0" applyNumberFormat="1"/>
    <xf numFmtId="49" fontId="0" fillId="0" borderId="1" xfId="0" applyNumberFormat="1" applyBorder="1"/>
    <xf numFmtId="49" fontId="17" fillId="0" borderId="0" xfId="0" applyNumberFormat="1" applyFont="1"/>
    <xf numFmtId="0" fontId="17" fillId="0" borderId="0" xfId="0" applyFont="1"/>
    <xf numFmtId="0" fontId="18" fillId="8" borderId="0" xfId="0" applyFont="1" applyFill="1"/>
    <xf numFmtId="14" fontId="24" fillId="4" borderId="0" xfId="0" applyNumberFormat="1" applyFont="1" applyFill="1" applyAlignment="1">
      <alignment horizontal="left" vertical="center"/>
    </xf>
    <xf numFmtId="14" fontId="25" fillId="4" borderId="0" xfId="0" applyNumberFormat="1" applyFont="1" applyFill="1" applyAlignment="1">
      <alignment horizontal="left" vertical="center"/>
    </xf>
    <xf numFmtId="14" fontId="19" fillId="4" borderId="0" xfId="0" applyNumberFormat="1" applyFont="1" applyFill="1" applyAlignment="1">
      <alignment horizontal="left" vertical="center"/>
    </xf>
    <xf numFmtId="0" fontId="19" fillId="4" borderId="0" xfId="0" applyFont="1" applyFill="1" applyAlignment="1">
      <alignment vertical="center"/>
    </xf>
    <xf numFmtId="0" fontId="20" fillId="4" borderId="0" xfId="6" applyFont="1" applyFill="1" applyBorder="1" applyAlignment="1">
      <alignment vertical="center"/>
    </xf>
    <xf numFmtId="0" fontId="21" fillId="4" borderId="0" xfId="0" applyFont="1" applyFill="1" applyAlignment="1">
      <alignment vertical="center" wrapText="1"/>
    </xf>
    <xf numFmtId="0" fontId="23" fillId="4" borderId="0" xfId="0" applyFont="1" applyFill="1" applyAlignment="1">
      <alignment vertical="center"/>
    </xf>
    <xf numFmtId="0" fontId="21" fillId="4" borderId="0" xfId="0" applyFont="1" applyFill="1" applyAlignment="1">
      <alignment vertical="center"/>
    </xf>
  </cellXfs>
  <cellStyles count="7">
    <cellStyle name="Köprü" xfId="6" builtinId="8"/>
    <cellStyle name="Normal" xfId="0" builtinId="0"/>
    <cellStyle name="Normal 2" xfId="1" xr:uid="{00000000-0005-0000-0000-000002000000}"/>
    <cellStyle name="Normal 3" xfId="2" xr:uid="{00000000-0005-0000-0000-000003000000}"/>
    <cellStyle name="Normal 4" xfId="3" xr:uid="{00000000-0005-0000-0000-000004000000}"/>
    <cellStyle name="Normal 5" xfId="4" xr:uid="{00000000-0005-0000-0000-000005000000}"/>
    <cellStyle name="Normal 6" xfId="5" xr:uid="{00000000-0005-0000-0000-000006000000}"/>
  </cellStyles>
  <dxfs count="2">
    <dxf>
      <fill>
        <patternFill>
          <bgColor rgb="FFFFC7CE"/>
        </patternFill>
      </fill>
    </dxf>
    <dxf>
      <fill>
        <patternFill>
          <bgColor rgb="FFFFC7CE"/>
        </patternFill>
      </fill>
    </dxf>
  </dxfs>
  <tableStyles count="0" defaultTableStyle="TableStyleMedium2" defaultPivotStyle="PivotStyleLight16"/>
  <colors>
    <mruColors>
      <color rgb="FF004C00"/>
      <color rgb="FF00E600"/>
      <color rgb="FF005C00"/>
      <color rgb="FF009900"/>
      <color rgb="FFFFDFAF"/>
      <color rgb="FFFFFF81"/>
      <color rgb="FFFF5D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0</xdr:row>
          <xdr:rowOff>76200</xdr:rowOff>
        </xdr:from>
        <xdr:to>
          <xdr:col>2</xdr:col>
          <xdr:colOff>314325</xdr:colOff>
          <xdr:row>0</xdr:row>
          <xdr:rowOff>847725</xdr:rowOff>
        </xdr:to>
        <xdr:sp macro="" textlink="">
          <xdr:nvSpPr>
            <xdr:cNvPr id="3074" name="button1"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r-TR" sz="1800" b="1" i="0" u="none" strike="noStrike" baseline="0">
                  <a:solidFill>
                    <a:srgbClr val="0000FF"/>
                  </a:solidFill>
                  <a:latin typeface="Calibri"/>
                  <a:ea typeface="Calibri"/>
                  <a:cs typeface="Calibri"/>
                </a:rPr>
                <a:t>Import VCF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381000</xdr:colOff>
          <xdr:row>0</xdr:row>
          <xdr:rowOff>76200</xdr:rowOff>
        </xdr:from>
        <xdr:to>
          <xdr:col>4</xdr:col>
          <xdr:colOff>676275</xdr:colOff>
          <xdr:row>0</xdr:row>
          <xdr:rowOff>847725</xdr:rowOff>
        </xdr:to>
        <xdr:sp macro="" textlink="">
          <xdr:nvSpPr>
            <xdr:cNvPr id="3080" name="button2"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r-TR" sz="1800" b="1" i="0" u="none" strike="noStrike" baseline="0">
                  <a:solidFill>
                    <a:srgbClr val="0000FF"/>
                  </a:solidFill>
                  <a:latin typeface="Calibri"/>
                  <a:ea typeface="Calibri"/>
                  <a:cs typeface="Calibri"/>
                </a:rPr>
                <a:t>Export VCF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771525</xdr:colOff>
          <xdr:row>0</xdr:row>
          <xdr:rowOff>76200</xdr:rowOff>
        </xdr:from>
        <xdr:to>
          <xdr:col>6</xdr:col>
          <xdr:colOff>333375</xdr:colOff>
          <xdr:row>0</xdr:row>
          <xdr:rowOff>438150</xdr:rowOff>
        </xdr:to>
        <xdr:sp macro="" textlink="">
          <xdr:nvSpPr>
            <xdr:cNvPr id="3081" name="button3"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1" i="0" u="none" strike="noStrike" baseline="0">
                  <a:solidFill>
                    <a:srgbClr val="0000FF"/>
                  </a:solidFill>
                  <a:latin typeface="Calibri"/>
                  <a:ea typeface="Calibri"/>
                  <a:cs typeface="Calibri"/>
                </a:rPr>
                <a:t>Remove Duplicates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771525</xdr:colOff>
          <xdr:row>0</xdr:row>
          <xdr:rowOff>485775</xdr:rowOff>
        </xdr:from>
        <xdr:to>
          <xdr:col>6</xdr:col>
          <xdr:colOff>333375</xdr:colOff>
          <xdr:row>0</xdr:row>
          <xdr:rowOff>847725</xdr:rowOff>
        </xdr:to>
        <xdr:sp macro="" textlink="">
          <xdr:nvSpPr>
            <xdr:cNvPr id="3082" name="button4"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1" i="0" u="none" strike="noStrike" baseline="0">
                  <a:solidFill>
                    <a:srgbClr val="C00000"/>
                  </a:solidFill>
                  <a:latin typeface="Calibri"/>
                  <a:ea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428625</xdr:colOff>
          <xdr:row>0</xdr:row>
          <xdr:rowOff>76200</xdr:rowOff>
        </xdr:from>
        <xdr:to>
          <xdr:col>7</xdr:col>
          <xdr:colOff>971550</xdr:colOff>
          <xdr:row>0</xdr:row>
          <xdr:rowOff>847725</xdr:rowOff>
        </xdr:to>
        <xdr:sp macro="" textlink="">
          <xdr:nvSpPr>
            <xdr:cNvPr id="3083" name="button5"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400" b="1" i="0" u="none" strike="noStrike" baseline="0">
                  <a:solidFill>
                    <a:srgbClr val="0000FF"/>
                  </a:solidFill>
                  <a:latin typeface="Calibri"/>
                  <a:ea typeface="Calibri"/>
                  <a:cs typeface="Calibri"/>
                </a:rPr>
                <a:t>Settings</a:t>
              </a:r>
            </a:p>
          </xdr:txBody>
        </xdr:sp>
        <xdr:clientData fPrintsWithSheet="0"/>
      </xdr:twoCellAnchor>
    </mc:Choice>
    <mc:Fallback/>
  </mc:AlternateContent>
  <xdr:twoCellAnchor editAs="absolute">
    <xdr:from>
      <xdr:col>8</xdr:col>
      <xdr:colOff>76204</xdr:colOff>
      <xdr:row>0</xdr:row>
      <xdr:rowOff>219075</xdr:rowOff>
    </xdr:from>
    <xdr:to>
      <xdr:col>12</xdr:col>
      <xdr:colOff>142875</xdr:colOff>
      <xdr:row>0</xdr:row>
      <xdr:rowOff>676275</xdr:rowOff>
    </xdr:to>
    <xdr:sp macro="" textlink="">
      <xdr:nvSpPr>
        <xdr:cNvPr id="2" name="shp_rec1" hidden="1">
          <a:extLst>
            <a:ext uri="{FF2B5EF4-FFF2-40B4-BE49-F238E27FC236}">
              <a16:creationId xmlns:a16="http://schemas.microsoft.com/office/drawing/2014/main" id="{00000000-0008-0000-0000-000002000000}"/>
            </a:ext>
          </a:extLst>
        </xdr:cNvPr>
        <xdr:cNvSpPr/>
      </xdr:nvSpPr>
      <xdr:spPr>
        <a:xfrm>
          <a:off x="7419979" y="219075"/>
          <a:ext cx="3990971" cy="457200"/>
        </a:xfrm>
        <a:prstGeom prst="rect">
          <a:avLst/>
        </a:prstGeom>
        <a:solidFill>
          <a:schemeClr val="bg1">
            <a:lumMod val="95000"/>
          </a:schemeClr>
        </a:solidFill>
        <a:ln w="3175">
          <a:solidFill>
            <a:schemeClr val="tx1"/>
          </a:solid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tr-TR" sz="1100"/>
        </a:p>
      </xdr:txBody>
    </xdr:sp>
    <xdr:clientData fPrintsWithSheet="0"/>
  </xdr:twoCellAnchor>
  <xdr:twoCellAnchor editAs="absolute">
    <xdr:from>
      <xdr:col>8</xdr:col>
      <xdr:colOff>76177</xdr:colOff>
      <xdr:row>0</xdr:row>
      <xdr:rowOff>219075</xdr:rowOff>
    </xdr:from>
    <xdr:to>
      <xdr:col>12</xdr:col>
      <xdr:colOff>142848</xdr:colOff>
      <xdr:row>0</xdr:row>
      <xdr:rowOff>676275</xdr:rowOff>
    </xdr:to>
    <xdr:sp macro="" textlink="">
      <xdr:nvSpPr>
        <xdr:cNvPr id="3" name="shp_rec2" hidden="1">
          <a:extLst>
            <a:ext uri="{FF2B5EF4-FFF2-40B4-BE49-F238E27FC236}">
              <a16:creationId xmlns:a16="http://schemas.microsoft.com/office/drawing/2014/main" id="{00000000-0008-0000-0000-000003000000}"/>
            </a:ext>
          </a:extLst>
        </xdr:cNvPr>
        <xdr:cNvSpPr/>
      </xdr:nvSpPr>
      <xdr:spPr>
        <a:xfrm>
          <a:off x="7419952" y="219075"/>
          <a:ext cx="3990971" cy="457200"/>
        </a:xfrm>
        <a:prstGeom prst="rect">
          <a:avLst/>
        </a:prstGeom>
        <a:gradFill>
          <a:gsLst>
            <a:gs pos="81000">
              <a:srgbClr val="004C00"/>
            </a:gs>
            <a:gs pos="15000">
              <a:srgbClr val="00E600"/>
            </a:gs>
          </a:gsLst>
          <a:lin ang="5400000" scaled="1"/>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a:t>100%</a:t>
          </a:r>
        </a:p>
      </xdr:txBody>
    </xdr:sp>
    <xdr:clientData fPrintsWithSheet="0"/>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s://www.youtube.com/mesutakcan" TargetMode="External"/><Relationship Id="rId2" Type="http://schemas.openxmlformats.org/officeDocument/2006/relationships/hyperlink" Target="https://mesutakcan.blogspot.com/" TargetMode="External"/><Relationship Id="rId1" Type="http://schemas.openxmlformats.org/officeDocument/2006/relationships/hyperlink" Target="mailto:makcan@gmail.com" TargetMode="External"/><Relationship Id="rId5" Type="http://schemas.openxmlformats.org/officeDocument/2006/relationships/printerSettings" Target="../printerSettings/printerSettings3.bin"/><Relationship Id="rId4" Type="http://schemas.openxmlformats.org/officeDocument/2006/relationships/hyperlink" Target="https://github.com/mesutakcan/Excel-VCF-Convert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AW2"/>
  <sheetViews>
    <sheetView tabSelected="1" workbookViewId="0">
      <pane ySplit="2" topLeftCell="A3" activePane="bottomLeft" state="frozen"/>
      <selection pane="bottomLeft" activeCell="A3" sqref="A3"/>
    </sheetView>
  </sheetViews>
  <sheetFormatPr defaultColWidth="13.28515625" defaultRowHeight="15" x14ac:dyDescent="0.25"/>
  <cols>
    <col min="1" max="1" width="13.28515625" style="3"/>
    <col min="2" max="2" width="13.140625" style="3" bestFit="1" customWidth="1"/>
    <col min="3" max="3" width="10.140625" style="3" bestFit="1" customWidth="1"/>
    <col min="4" max="49" width="14.7109375" style="10" customWidth="1"/>
    <col min="50" max="16384" width="13.28515625" style="3"/>
  </cols>
  <sheetData>
    <row r="1" spans="1:49" s="1" customFormat="1" ht="70.5" customHeight="1" x14ac:dyDescent="0.2">
      <c r="A1" s="5"/>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row>
    <row r="2" spans="1:49" x14ac:dyDescent="0.25">
      <c r="A2" s="6" t="str">
        <f>INDEX(fields_hdr,MATCH("GIVEN",fields_keys,0),lang_no)</f>
        <v>First Name</v>
      </c>
      <c r="B2" s="6" t="str">
        <f>INDEX(fields_hdr,MATCH("MIDDLE",fields_keys,0),lang_no)</f>
        <v>Middle Name</v>
      </c>
      <c r="C2" s="6" t="str">
        <f>INDEX(fields_hdr,MATCH("FAMILY",fields_keys,0),lang_no)</f>
        <v>Last Name</v>
      </c>
      <c r="D2" s="6" t="str">
        <f>INDEX(fields_hdr,MATCH("BDAY",fields_keys,0),lang_no)</f>
        <v>Birthday</v>
      </c>
      <c r="E2" s="6" t="str">
        <f>INDEX(fields_hdr,MATCH("TEL_CELL_1",fields_keys,0),lang_no)</f>
        <v>Mobile Phone1</v>
      </c>
      <c r="F2" s="6" t="str">
        <f>INDEX(fields_hdr,MATCH("TEL_CELL_2",fields_keys,0),lang_no)</f>
        <v>Mobile Phone2</v>
      </c>
      <c r="G2" s="6" t="str">
        <f>INDEX(fields_hdr,MATCH("TEL_CELL_3",fields_keys,0),lang_no)</f>
        <v>Mobile Phone3</v>
      </c>
      <c r="H2" s="6" t="str">
        <f>INDEX(fields_hdr,MATCH("TEL_HOME_1",fields_keys,0),lang_no)</f>
        <v>Home Phone1</v>
      </c>
      <c r="I2" s="6" t="str">
        <f>INDEX(fields_hdr,MATCH("TEL_HOME_2",fields_keys,0),lang_no)</f>
        <v>Home Phone2</v>
      </c>
      <c r="J2" s="6" t="str">
        <f>INDEX(fields_hdr,MATCH("TEL_WORK_1",fields_keys,0),lang_no)</f>
        <v>Work Phone1</v>
      </c>
      <c r="K2" s="6" t="str">
        <f>INDEX(fields_hdr,MATCH("TEL_WORK_2",fields_keys,0),lang_no)</f>
        <v>Work Phone2</v>
      </c>
      <c r="L2" s="6" t="str">
        <f>INDEX(fields_hdr,MATCH("EMAIL_HOME_1",fields_keys,0),lang_no)</f>
        <v>Home Email1</v>
      </c>
      <c r="M2" s="6" t="str">
        <f>INDEX(fields_hdr,MATCH("EMAIL_HOME_2",fields_keys,0),lang_no)</f>
        <v>Home Email2</v>
      </c>
      <c r="N2" s="6" t="str">
        <f>INDEX(fields_hdr,MATCH("EMAIL_HOME_3",fields_keys,0),lang_no)</f>
        <v>Home Email3</v>
      </c>
      <c r="O2" s="6" t="str">
        <f>INDEX(fields_hdr,MATCH("EMAIL_WORK_1",fields_keys,0),lang_no)</f>
        <v>Work Email1</v>
      </c>
      <c r="P2" s="6" t="str">
        <f>INDEX(fields_hdr,MATCH("ADR_HOME",fields_keys,0),lang_no)</f>
        <v>Home Address</v>
      </c>
      <c r="Q2" s="6" t="str">
        <f>INDEX(fields_hdr,MATCH("ADR_WORK",fields_keys,0),lang_no)</f>
        <v>Work Address</v>
      </c>
      <c r="R2" s="6" t="str">
        <f>INDEX(fields_hdr,MATCH("ORG",fields_keys,0),lang_no)</f>
        <v>Organization</v>
      </c>
      <c r="S2" s="6" t="str">
        <f>INDEX(fields_hdr,MATCH("TITLE",fields_keys,0),lang_no)</f>
        <v>Title</v>
      </c>
      <c r="T2" s="6" t="str">
        <f>INDEX(fields_hdr,MATCH("URL_1",fields_keys,0),lang_no)</f>
        <v>Website1</v>
      </c>
      <c r="U2" s="6" t="str">
        <f>INDEX(fields_hdr,MATCH("URL_2",fields_keys,0),lang_no)</f>
        <v>Website2</v>
      </c>
      <c r="V2" s="6" t="str">
        <f>INDEX(fields_hdr,MATCH("CATEGORIES",fields_keys,0),lang_no)</f>
        <v>Group</v>
      </c>
      <c r="W2" s="6" t="str">
        <f>INDEX(fields_hdr,MATCH("NOTE",fields_keys,0),lang_no)</f>
        <v>Notes</v>
      </c>
      <c r="X2" s="6" t="str">
        <f>INDEX(fields_hdr,MATCH("PREFIX",fields_keys,0),lang_no)</f>
        <v>Name Prefix</v>
      </c>
      <c r="Y2" s="6" t="str">
        <f>INDEX(fields_hdr,MATCH("SUFFIX",fields_keys,0),lang_no)</f>
        <v>Name Suffix</v>
      </c>
      <c r="Z2" s="6" t="str">
        <f>INDEX(fields_hdr,MATCH("NICKNAME",fields_keys,0),lang_no)</f>
        <v>Nickname</v>
      </c>
      <c r="AA2" s="6" t="str">
        <f>INDEX(fields_hdr,MATCH("TEL_WORK_3",fields_keys,0),lang_no)</f>
        <v>Work Phone3</v>
      </c>
      <c r="AB2" s="6" t="str">
        <f>INDEX(fields_hdr,MATCH("TEL_WORK_4",fields_keys,0),lang_no)</f>
        <v>Work Phone4</v>
      </c>
      <c r="AC2" s="6" t="str">
        <f>INDEX(fields_hdr,MATCH("TEL_WORK_5",fields_keys,0),lang_no)</f>
        <v>Work Phone5</v>
      </c>
      <c r="AD2" s="6" t="str">
        <f>INDEX(fields_hdr,MATCH("ADR_HOME2",fields_keys,0),lang_no)</f>
        <v>Home Address2</v>
      </c>
      <c r="AE2" s="6" t="str">
        <f>INDEX(fields_hdr,MATCH("ADR_HOME3",fields_keys,0),lang_no)</f>
        <v>Home Address3</v>
      </c>
      <c r="AF2" s="6" t="str">
        <f>INDEX(fields_hdr,MATCH("ADR_WORK2",fields_keys,0),lang_no)</f>
        <v>Work Address2</v>
      </c>
      <c r="AG2" s="6" t="str">
        <f>INDEX(fields_hdr,MATCH("ADR_HOME4",fields_keys,0),lang_no)</f>
        <v>Home Address4</v>
      </c>
      <c r="AH2" s="6" t="str">
        <f>INDEX(fields_hdr,MATCH("TEL_CELL_4",fields_keys,0),lang_no)</f>
        <v>Mobile Phone4</v>
      </c>
      <c r="AI2" s="6" t="str">
        <f>INDEX(fields_hdr,MATCH("TEL_CELL_5",fields_keys,0),lang_no)</f>
        <v>Mobile Phone5</v>
      </c>
      <c r="AJ2" s="6" t="str">
        <f>INDEX(fields_hdr,MATCH("URL_3",fields_keys,0),lang_no)</f>
        <v>Website3</v>
      </c>
      <c r="AK2" s="6" t="str">
        <f>INDEX(fields_hdr,MATCH("URL_4",fields_keys,0),lang_no)</f>
        <v>Website4</v>
      </c>
      <c r="AL2" s="6" t="str">
        <f>INDEX(fields_hdr,MATCH("EMAIL_HOME_4",fields_keys,0),lang_no)</f>
        <v>Home Email4</v>
      </c>
      <c r="AM2" s="6" t="str">
        <f>INDEX(fields_hdr,MATCH("EMAIL_HOME_5",fields_keys,0),lang_no)</f>
        <v>Home Email5</v>
      </c>
      <c r="AN2" s="6" t="str">
        <f>INDEX(fields_hdr,MATCH("URL_5",fields_keys,0),lang_no)</f>
        <v>Website5</v>
      </c>
      <c r="AO2" s="6" t="str">
        <f>INDEX(fields_hdr,MATCH("URL_6",fields_keys,0),lang_no)</f>
        <v>Website6</v>
      </c>
      <c r="AP2" s="6" t="str">
        <f>INDEX(fields_hdr,MATCH("URL_7",fields_keys,0),lang_no)</f>
        <v>Website7</v>
      </c>
      <c r="AQ2" s="6" t="str">
        <f>INDEX(fields_hdr,MATCH("URL_8",fields_keys,0),lang_no)</f>
        <v>Website8</v>
      </c>
      <c r="AR2" s="6" t="str">
        <f>INDEX(fields_hdr,MATCH("URL_9",fields_keys,0),lang_no)</f>
        <v>Website9</v>
      </c>
      <c r="AS2" s="6" t="str">
        <f>INDEX(fields_hdr,MATCH("URL_10",fields_keys,0),lang_no)</f>
        <v>Website10</v>
      </c>
      <c r="AT2" s="6" t="str">
        <f>INDEX(fields_hdr,MATCH("URL_11",fields_keys,0),lang_no)</f>
        <v>Website11</v>
      </c>
      <c r="AU2" s="6" t="str">
        <f>INDEX(fields_hdr,MATCH("URL_12",fields_keys,0),lang_no)</f>
        <v>Website12</v>
      </c>
      <c r="AV2" s="6" t="str">
        <f>INDEX(fields_hdr,MATCH("URL_13",fields_keys,0),lang_no)</f>
        <v>Website13</v>
      </c>
      <c r="AW2" s="6" t="str">
        <f>INDEX(fields_hdr,MATCH("URL_14",fields_keys,0),lang_no)</f>
        <v>Website14</v>
      </c>
    </row>
  </sheetData>
  <autoFilter ref="A2:AW2" xr:uid="{00000000-0001-0000-0000-000000000000}">
    <sortState xmlns:xlrd2="http://schemas.microsoft.com/office/spreadsheetml/2017/richdata2" ref="A2:AW3">
      <sortCondition ref="A2"/>
    </sortState>
  </autoFilter>
  <conditionalFormatting sqref="A3:C1041944">
    <cfRule type="expression" dxfId="1" priority="3">
      <formula>AND(COUNTA($A3:$C3)&gt;0,COUNTA($A3:$C3)=0,LEN(#REF!)=0,LEN(#REF!)=0)</formula>
    </cfRule>
  </conditionalFormatting>
  <conditionalFormatting sqref="A1041945:C1048576">
    <cfRule type="expression" dxfId="0" priority="5">
      <formula>AND(COUNTA($A1041945:$C1041946)&gt;0,COUNTA($A1041945:$C1041946)=0,LEN(#REF!)=0,LEN(#REF!)=0)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1">
              <controlPr defaultSize="0" print="0" autoFill="0" autoPict="0" macro="[0]!Import_vCard_File">
                <anchor>
                  <from>
                    <xdr:col>0</xdr:col>
                    <xdr:colOff>123825</xdr:colOff>
                    <xdr:row>0</xdr:row>
                    <xdr:rowOff>76200</xdr:rowOff>
                  </from>
                  <to>
                    <xdr:col>2</xdr:col>
                    <xdr:colOff>314325</xdr:colOff>
                    <xdr:row>0</xdr:row>
                    <xdr:rowOff>847725</xdr:rowOff>
                  </to>
                </anchor>
              </controlPr>
            </control>
          </mc:Choice>
        </mc:AlternateContent>
        <mc:AlternateContent xmlns:mc="http://schemas.openxmlformats.org/markup-compatibility/2006">
          <mc:Choice Requires="x14">
            <control shapeId="3080" r:id="rId5" name="button2">
              <controlPr defaultSize="0" print="0" autoFill="0" autoPict="0" macro="[0]!Create_vCard_File">
                <anchor>
                  <from>
                    <xdr:col>2</xdr:col>
                    <xdr:colOff>381000</xdr:colOff>
                    <xdr:row>0</xdr:row>
                    <xdr:rowOff>76200</xdr:rowOff>
                  </from>
                  <to>
                    <xdr:col>4</xdr:col>
                    <xdr:colOff>676275</xdr:colOff>
                    <xdr:row>0</xdr:row>
                    <xdr:rowOff>847725</xdr:rowOff>
                  </to>
                </anchor>
              </controlPr>
            </control>
          </mc:Choice>
        </mc:AlternateContent>
        <mc:AlternateContent xmlns:mc="http://schemas.openxmlformats.org/markup-compatibility/2006">
          <mc:Choice Requires="x14">
            <control shapeId="3081" r:id="rId6" name="button3">
              <controlPr defaultSize="0" print="0" autoFill="0" autoPict="0" macro="[0]!Remove_Duplicates">
                <anchor>
                  <from>
                    <xdr:col>4</xdr:col>
                    <xdr:colOff>771525</xdr:colOff>
                    <xdr:row>0</xdr:row>
                    <xdr:rowOff>76200</xdr:rowOff>
                  </from>
                  <to>
                    <xdr:col>6</xdr:col>
                    <xdr:colOff>333375</xdr:colOff>
                    <xdr:row>0</xdr:row>
                    <xdr:rowOff>438150</xdr:rowOff>
                  </to>
                </anchor>
              </controlPr>
            </control>
          </mc:Choice>
        </mc:AlternateContent>
        <mc:AlternateContent xmlns:mc="http://schemas.openxmlformats.org/markup-compatibility/2006">
          <mc:Choice Requires="x14">
            <control shapeId="3082" r:id="rId7" name="button4">
              <controlPr defaultSize="0" print="0" autoFill="0" autoPict="0" macro="[0]!Clear_Data">
                <anchor>
                  <from>
                    <xdr:col>4</xdr:col>
                    <xdr:colOff>771525</xdr:colOff>
                    <xdr:row>0</xdr:row>
                    <xdr:rowOff>485775</xdr:rowOff>
                  </from>
                  <to>
                    <xdr:col>6</xdr:col>
                    <xdr:colOff>333375</xdr:colOff>
                    <xdr:row>0</xdr:row>
                    <xdr:rowOff>847725</xdr:rowOff>
                  </to>
                </anchor>
              </controlPr>
            </control>
          </mc:Choice>
        </mc:AlternateContent>
        <mc:AlternateContent xmlns:mc="http://schemas.openxmlformats.org/markup-compatibility/2006">
          <mc:Choice Requires="x14">
            <control shapeId="3083" r:id="rId8" name="button5">
              <controlPr defaultSize="0" print="0" autoFill="0" autoPict="0" macro="[0]!Show_Settings">
                <anchor>
                  <from>
                    <xdr:col>6</xdr:col>
                    <xdr:colOff>428625</xdr:colOff>
                    <xdr:row>0</xdr:row>
                    <xdr:rowOff>76200</xdr:rowOff>
                  </from>
                  <to>
                    <xdr:col>7</xdr:col>
                    <xdr:colOff>971550</xdr:colOff>
                    <xdr:row>0</xdr:row>
                    <xdr:rowOff>847725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ayfa4"/>
  <dimension ref="A1:I29"/>
  <sheetViews>
    <sheetView showGridLines="0" workbookViewId="0">
      <selection activeCell="B3" sqref="B3"/>
    </sheetView>
  </sheetViews>
  <sheetFormatPr defaultRowHeight="12.75" x14ac:dyDescent="0.2"/>
  <cols>
    <col min="1" max="1" width="36" customWidth="1"/>
    <col min="2" max="2" width="30" customWidth="1"/>
    <col min="3" max="3" width="80" customWidth="1"/>
    <col min="4" max="4" width="3" customWidth="1"/>
    <col min="5" max="5" width="5" customWidth="1"/>
    <col min="8" max="9" width="32" hidden="1" customWidth="1"/>
  </cols>
  <sheetData>
    <row r="1" spans="1:9" ht="30" customHeight="1" x14ac:dyDescent="0.35">
      <c r="A1" s="14" t="str">
        <f>INDEX(lang_data,51,lang_no)</f>
        <v>Settings</v>
      </c>
      <c r="B1" s="17" t="str">
        <f>HYPERLINK("#data_head",INDEX(lang_data,140,lang_no))</f>
        <v>Back to Data</v>
      </c>
    </row>
    <row r="2" spans="1:9" ht="15" x14ac:dyDescent="0.25">
      <c r="A2" s="15" t="str">
        <f>INDEX(lang_data,104,lang_no)</f>
        <v>Setting</v>
      </c>
      <c r="B2" s="15" t="str">
        <f>INDEX(lang_data,105,lang_no)</f>
        <v>Value</v>
      </c>
      <c r="C2" s="15" t="str">
        <f>INDEX(lang_data,106,lang_no)</f>
        <v>Description</v>
      </c>
    </row>
    <row r="3" spans="1:9" ht="32.1" customHeight="1" x14ac:dyDescent="0.2">
      <c r="A3" s="11" t="str">
        <f>INDEX(lang_data,52,lang_no)</f>
        <v>Language</v>
      </c>
      <c r="B3" s="12" t="s">
        <v>29</v>
      </c>
      <c r="C3" s="13" t="str">
        <f>INDEX(lang_data,53,lang_no)</f>
        <v>Language of headers, buttons and messages</v>
      </c>
      <c r="E3" s="13">
        <f>IFERROR(MATCH(B3,$H$3:$H$4,0),IFERROR(MATCH(B3,$I$3:$I$4,0),1))</f>
        <v>1</v>
      </c>
      <c r="H3" t="s">
        <v>29</v>
      </c>
      <c r="I3" t="s">
        <v>29</v>
      </c>
    </row>
    <row r="4" spans="1:9" ht="32.1" customHeight="1" x14ac:dyDescent="0.2">
      <c r="A4" s="11" t="str">
        <f>INDEX(lang_data,54,lang_no)</f>
        <v>Import encoding</v>
      </c>
      <c r="B4" s="12" t="s">
        <v>71</v>
      </c>
      <c r="C4" s="13" t="str">
        <f>INDEX(lang_data,55,lang_no)</f>
        <v>Auto uses UTF-8 when the file is valid UTF-8, otherwise the ANSI code page below</v>
      </c>
      <c r="H4" t="s">
        <v>72</v>
      </c>
      <c r="I4" t="s">
        <v>72</v>
      </c>
    </row>
    <row r="5" spans="1:9" ht="32.1" customHeight="1" x14ac:dyDescent="0.2">
      <c r="A5" s="11" t="str">
        <f>INDEX(lang_data,56,lang_no)</f>
        <v>ANSI code page</v>
      </c>
      <c r="B5" s="12" t="s">
        <v>73</v>
      </c>
      <c r="C5" s="13" t="str">
        <f>INDEX(lang_data,57,lang_no)</f>
        <v>Used for files that are not UTF-8 (or when ANSI is selected above)</v>
      </c>
      <c r="H5" t="s">
        <v>71</v>
      </c>
      <c r="I5" t="s">
        <v>74</v>
      </c>
    </row>
    <row r="6" spans="1:9" ht="32.1" customHeight="1" x14ac:dyDescent="0.2">
      <c r="A6" s="11" t="str">
        <f>INDEX(lang_data,58,lang_no)</f>
        <v>Add missing columns on import</v>
      </c>
      <c r="B6" s="12" t="s">
        <v>75</v>
      </c>
      <c r="C6" s="13" t="str">
        <f>INDEX(lang_data,59,lang_no)</f>
        <v>Adds columns for vCard fields and extra values that have no column on the Data sheet</v>
      </c>
      <c r="H6" t="s">
        <v>76</v>
      </c>
      <c r="I6" t="s">
        <v>76</v>
      </c>
    </row>
    <row r="7" spans="1:9" ht="32.1" customHeight="1" x14ac:dyDescent="0.2">
      <c r="A7" s="11" t="str">
        <f>INDEX(lang_data,60,lang_no)</f>
        <v>Export UTF-8 BOM</v>
      </c>
      <c r="B7" s="12" t="s">
        <v>77</v>
      </c>
      <c r="C7" s="13" t="str">
        <f>INDEX(lang_data,61,lang_no)</f>
        <v>Some programs (for example classic Outlook) need a BOM to read UTF-8</v>
      </c>
      <c r="H7" t="s">
        <v>78</v>
      </c>
      <c r="I7" t="s">
        <v>78</v>
      </c>
    </row>
    <row r="8" spans="1:9" ht="32.1" customHeight="1" x14ac:dyDescent="0.2">
      <c r="A8" s="11" t="str">
        <f>INDEX(lang_data,62,lang_no)</f>
        <v>Fold long lines on export</v>
      </c>
      <c r="B8" s="12" t="s">
        <v>77</v>
      </c>
      <c r="C8" s="13" t="str">
        <f>INDEX(lang_data,63,lang_no)</f>
        <v>Folds lines at 75 bytes as the vCard standard recommends</v>
      </c>
      <c r="H8" t="s">
        <v>73</v>
      </c>
      <c r="I8" t="s">
        <v>79</v>
      </c>
    </row>
    <row r="9" spans="1:9" ht="32.1" customHeight="1" x14ac:dyDescent="0.2">
      <c r="A9" s="11" t="str">
        <f>INDEX(lang_data,64,lang_no)</f>
        <v>Display name format</v>
      </c>
      <c r="B9" s="12" t="s">
        <v>80</v>
      </c>
      <c r="C9" s="13" t="str">
        <f>INDEX(lang_data,65,lang_no)</f>
        <v>Used for FN when the Display Name column is empty</v>
      </c>
      <c r="H9" t="s">
        <v>81</v>
      </c>
      <c r="I9" t="s">
        <v>82</v>
      </c>
    </row>
    <row r="10" spans="1:9" ht="32.1" customHeight="1" x14ac:dyDescent="0.2">
      <c r="A10" s="11" t="str">
        <f>INDEX(lang_data,66,lang_no)</f>
        <v>Untyped phone numbers</v>
      </c>
      <c r="B10" s="12" t="s">
        <v>83</v>
      </c>
      <c r="C10" s="13" t="str">
        <f>INDEX(lang_data,67,lang_no)</f>
        <v>Column group for imported numbers that have no type</v>
      </c>
      <c r="H10" t="s">
        <v>84</v>
      </c>
      <c r="I10" t="s">
        <v>85</v>
      </c>
    </row>
    <row r="11" spans="1:9" ht="32.1" customHeight="1" x14ac:dyDescent="0.2">
      <c r="A11" s="11" t="str">
        <f>INDEX(lang_data,68,lang_no)</f>
        <v>Format phone numbers</v>
      </c>
      <c r="B11" s="12" t="s">
        <v>114</v>
      </c>
      <c r="C11" s="13" t="str">
        <f>INDEX(lang_data,69,lang_no)</f>
        <v>Converts numbers to the international format (+905321234567); numbers that are not recognized are left unchanged and logged</v>
      </c>
      <c r="H11" t="s">
        <v>87</v>
      </c>
      <c r="I11" t="s">
        <v>88</v>
      </c>
    </row>
    <row r="12" spans="1:9" ht="32.1" customHeight="1" x14ac:dyDescent="0.2">
      <c r="A12" s="11" t="str">
        <f>INDEX(lang_data,70,lang_no)</f>
        <v>Country code</v>
      </c>
      <c r="B12" s="12" t="s">
        <v>89</v>
      </c>
      <c r="C12" s="13" t="str">
        <f>INDEX(lang_data,71,lang_no)</f>
        <v>Default country code for national numbers, digits only, for example 90</v>
      </c>
      <c r="H12" t="s">
        <v>90</v>
      </c>
      <c r="I12" t="s">
        <v>91</v>
      </c>
    </row>
    <row r="13" spans="1:9" ht="32.1" customHeight="1" x14ac:dyDescent="0.2">
      <c r="A13" s="11" t="str">
        <f>INDEX(lang_data,130,lang_no)</f>
        <v>National prefix</v>
      </c>
      <c r="B13" s="12" t="s">
        <v>92</v>
      </c>
      <c r="C13" s="13" t="str">
        <f>INDEX(lang_data,131,lang_no)</f>
        <v>Dialed before national numbers: 0 (Turkey, UK, Germany), 1 (US, Canada), 8 (Russia); leave empty if none</v>
      </c>
      <c r="H13" t="s">
        <v>93</v>
      </c>
      <c r="I13" t="s">
        <v>94</v>
      </c>
    </row>
    <row r="14" spans="1:9" ht="32.1" customHeight="1" x14ac:dyDescent="0.2">
      <c r="A14" s="11" t="str">
        <f>INDEX(lang_data,72,lang_no)</f>
        <v>Export scope</v>
      </c>
      <c r="B14" s="12" t="s">
        <v>95</v>
      </c>
      <c r="C14" s="13" t="str">
        <f>INDEX(lang_data,73,lang_no)</f>
        <v>All rows, or only the rows of the current selection</v>
      </c>
      <c r="H14" t="s">
        <v>96</v>
      </c>
      <c r="I14" t="s">
        <v>97</v>
      </c>
    </row>
    <row r="15" spans="1:9" ht="32.1" customHeight="1" x14ac:dyDescent="0.2">
      <c r="A15" s="11" t="str">
        <f>INDEX(lang_data,74,lang_no)</f>
        <v>Highlight imported rows</v>
      </c>
      <c r="B15" s="12" t="s">
        <v>75</v>
      </c>
      <c r="C15" s="13" t="str">
        <f>INDEX(lang_data,75,lang_no)</f>
        <v>Marks the new rows so they are easy to find</v>
      </c>
      <c r="H15" t="s">
        <v>75</v>
      </c>
      <c r="I15" t="s">
        <v>98</v>
      </c>
    </row>
    <row r="16" spans="1:9" ht="32.1" customHeight="1" x14ac:dyDescent="0.2">
      <c r="A16" s="11" t="str">
        <f>INDEX(lang_data,76,lang_no)</f>
        <v>Write Log sheet</v>
      </c>
      <c r="B16" s="12" t="s">
        <v>75</v>
      </c>
      <c r="C16" s="13" t="str">
        <f>INDEX(lang_data,77,lang_no)</f>
        <v>Lists skipped and invalid items after import and export</v>
      </c>
      <c r="H16" t="s">
        <v>77</v>
      </c>
      <c r="I16" t="s">
        <v>99</v>
      </c>
    </row>
    <row r="17" spans="1:9" ht="32.1" customHeight="1" x14ac:dyDescent="0.2">
      <c r="A17" s="11" t="str">
        <f>INDEX(lang_data,78,lang_no)</f>
        <v>Duplicate match</v>
      </c>
      <c r="B17" s="12" t="s">
        <v>100</v>
      </c>
      <c r="C17" s="13" t="str">
        <f>INDEX(lang_data,79,lang_no)</f>
        <v>Columns compared by Remove Duplicates</v>
      </c>
      <c r="H17" t="s">
        <v>80</v>
      </c>
      <c r="I17" t="s">
        <v>101</v>
      </c>
    </row>
    <row r="18" spans="1:9" x14ac:dyDescent="0.2">
      <c r="H18" t="s">
        <v>102</v>
      </c>
      <c r="I18" t="s">
        <v>103</v>
      </c>
    </row>
    <row r="19" spans="1:9" x14ac:dyDescent="0.2">
      <c r="H19" t="s">
        <v>83</v>
      </c>
      <c r="I19" t="s">
        <v>104</v>
      </c>
    </row>
    <row r="20" spans="1:9" x14ac:dyDescent="0.2">
      <c r="H20" t="s">
        <v>105</v>
      </c>
      <c r="I20" t="s">
        <v>106</v>
      </c>
    </row>
    <row r="21" spans="1:9" x14ac:dyDescent="0.2">
      <c r="H21" t="s">
        <v>107</v>
      </c>
      <c r="I21" t="s">
        <v>108</v>
      </c>
    </row>
    <row r="22" spans="1:9" x14ac:dyDescent="0.2">
      <c r="H22" t="s">
        <v>86</v>
      </c>
      <c r="I22" t="s">
        <v>109</v>
      </c>
    </row>
    <row r="23" spans="1:9" x14ac:dyDescent="0.2">
      <c r="H23" t="s">
        <v>110</v>
      </c>
      <c r="I23" t="s">
        <v>111</v>
      </c>
    </row>
    <row r="24" spans="1:9" x14ac:dyDescent="0.2">
      <c r="H24" t="s">
        <v>112</v>
      </c>
      <c r="I24" t="s">
        <v>113</v>
      </c>
    </row>
    <row r="25" spans="1:9" x14ac:dyDescent="0.2">
      <c r="H25" t="s">
        <v>114</v>
      </c>
      <c r="I25" t="s">
        <v>115</v>
      </c>
    </row>
    <row r="26" spans="1:9" x14ac:dyDescent="0.2">
      <c r="H26" t="s">
        <v>95</v>
      </c>
      <c r="I26" t="s">
        <v>116</v>
      </c>
    </row>
    <row r="27" spans="1:9" x14ac:dyDescent="0.2">
      <c r="H27" t="s">
        <v>117</v>
      </c>
      <c r="I27" t="s">
        <v>118</v>
      </c>
    </row>
    <row r="28" spans="1:9" x14ac:dyDescent="0.2">
      <c r="H28" t="s">
        <v>100</v>
      </c>
      <c r="I28" t="s">
        <v>119</v>
      </c>
    </row>
    <row r="29" spans="1:9" x14ac:dyDescent="0.2">
      <c r="H29" t="s">
        <v>120</v>
      </c>
      <c r="I29" t="s">
        <v>121</v>
      </c>
    </row>
  </sheetData>
  <sheetProtection sheet="1" objects="1" scenarios="1" formatColumns="0" formatRows="0"/>
  <dataValidations count="11">
    <dataValidation type="list" showErrorMessage="1" errorTitle="Settings" error="Pick a value from the list." sqref="B3" xr:uid="{00000000-0002-0000-0100-000000000000}">
      <formula1>opt_lang</formula1>
    </dataValidation>
    <dataValidation type="list" showErrorMessage="1" errorTitle="Settings" error="Pick a value from the list." sqref="B4" xr:uid="{00000000-0002-0000-0100-000001000000}">
      <formula1>opt_enc</formula1>
    </dataValidation>
    <dataValidation type="list" showErrorMessage="1" errorTitle="Settings" error="Pick a value from the list." sqref="B5" xr:uid="{00000000-0002-0000-0100-000002000000}">
      <formula1>opt_cp</formula1>
    </dataValidation>
    <dataValidation type="list" showErrorMessage="1" errorTitle="Settings" error="Pick a value from the list." sqref="B15:B16 B6:B8" xr:uid="{00000000-0002-0000-0100-000003000000}">
      <formula1>opt_yesno</formula1>
    </dataValidation>
    <dataValidation type="list" showErrorMessage="1" errorTitle="Settings" error="Pick a value from the list." sqref="B9" xr:uid="{00000000-0002-0000-0100-000006000000}">
      <formula1>opt_fn</formula1>
    </dataValidation>
    <dataValidation type="list" showErrorMessage="1" errorTitle="Settings" error="Pick a value from the list." sqref="B10" xr:uid="{00000000-0002-0000-0100-000007000000}">
      <formula1>opt_untyped</formula1>
    </dataValidation>
    <dataValidation type="list" showErrorMessage="1" errorTitle="Settings" error="Pick a value from the list." sqref="B11" xr:uid="{00000000-0002-0000-0100-000008000000}">
      <formula1>opt_phone</formula1>
    </dataValidation>
    <dataValidation type="custom" allowBlank="1" showErrorMessage="1" errorTitle="Settings" error="Enter digits only (up to 4)." sqref="B12" xr:uid="{00000000-0002-0000-0100-000009000000}">
      <formula1>AND(ISNUMBER(--B12),LEN(B12)&lt;=4)</formula1>
    </dataValidation>
    <dataValidation type="custom" allowBlank="1" showErrorMessage="1" errorTitle="Settings" error="Enter digits only (up to 2)." sqref="B13" xr:uid="{00000000-0002-0000-0100-00000A000000}">
      <formula1>AND(ISNUMBER(--B13),LEN(B13)&lt;=2)</formula1>
    </dataValidation>
    <dataValidation type="list" showErrorMessage="1" errorTitle="Settings" error="Pick a value from the list." sqref="B14" xr:uid="{00000000-0002-0000-0100-00000B000000}">
      <formula1>opt_scope</formula1>
    </dataValidation>
    <dataValidation type="list" showErrorMessage="1" errorTitle="Settings" error="Pick a value from the list." sqref="B17" xr:uid="{00000000-0002-0000-0100-00000E000000}">
      <formula1>opt_dup</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ayfa5"/>
  <dimension ref="A1:H58"/>
  <sheetViews>
    <sheetView workbookViewId="0">
      <pane ySplit="1" topLeftCell="A2" activePane="bottomLeft" state="frozen"/>
      <selection pane="bottomLeft"/>
    </sheetView>
  </sheetViews>
  <sheetFormatPr defaultRowHeight="12.75" x14ac:dyDescent="0.2"/>
  <cols>
    <col min="1" max="1" width="18" customWidth="1"/>
    <col min="2" max="2" width="12" customWidth="1"/>
    <col min="3" max="3" width="28" customWidth="1"/>
    <col min="4" max="4" width="14" customWidth="1"/>
    <col min="5" max="6" width="22" customWidth="1"/>
    <col min="8" max="8" width="90" customWidth="1"/>
  </cols>
  <sheetData>
    <row r="1" spans="1:8" ht="38.25" x14ac:dyDescent="0.25">
      <c r="A1" s="15" t="s">
        <v>122</v>
      </c>
      <c r="B1" s="15" t="s">
        <v>123</v>
      </c>
      <c r="C1" s="15" t="s">
        <v>124</v>
      </c>
      <c r="D1" s="15" t="s">
        <v>125</v>
      </c>
      <c r="E1" s="15" t="s">
        <v>126</v>
      </c>
      <c r="F1" s="15" t="s">
        <v>127</v>
      </c>
      <c r="H1" s="13" t="s">
        <v>128</v>
      </c>
    </row>
    <row r="2" spans="1:8" ht="15" x14ac:dyDescent="0.25">
      <c r="A2" s="16" t="s">
        <v>129</v>
      </c>
      <c r="B2" s="16" t="s">
        <v>70</v>
      </c>
      <c r="C2" s="16" t="s">
        <v>130</v>
      </c>
      <c r="D2" s="16" t="s">
        <v>131</v>
      </c>
      <c r="E2" s="16" t="s">
        <v>23</v>
      </c>
      <c r="F2" s="16" t="s">
        <v>1</v>
      </c>
    </row>
    <row r="3" spans="1:8" ht="15" x14ac:dyDescent="0.25">
      <c r="A3" s="16" t="s">
        <v>132</v>
      </c>
      <c r="B3" s="16" t="s">
        <v>70</v>
      </c>
      <c r="C3" s="16" t="s">
        <v>130</v>
      </c>
      <c r="D3" s="16" t="s">
        <v>133</v>
      </c>
      <c r="E3" s="16" t="s">
        <v>24</v>
      </c>
      <c r="F3" s="16" t="s">
        <v>0</v>
      </c>
    </row>
    <row r="4" spans="1:8" ht="15" x14ac:dyDescent="0.25">
      <c r="A4" s="16" t="s">
        <v>134</v>
      </c>
      <c r="B4" s="16" t="s">
        <v>70</v>
      </c>
      <c r="C4" s="16" t="s">
        <v>130</v>
      </c>
      <c r="D4" s="16" t="s">
        <v>135</v>
      </c>
      <c r="E4" s="16" t="s">
        <v>25</v>
      </c>
      <c r="F4" s="16" t="s">
        <v>2</v>
      </c>
    </row>
    <row r="5" spans="1:8" ht="15" x14ac:dyDescent="0.25">
      <c r="A5" s="16" t="s">
        <v>136</v>
      </c>
      <c r="B5" s="16" t="s">
        <v>136</v>
      </c>
      <c r="C5" s="16" t="s">
        <v>130</v>
      </c>
      <c r="D5" s="16" t="s">
        <v>136</v>
      </c>
      <c r="E5" s="16" t="s">
        <v>53</v>
      </c>
      <c r="F5" s="16" t="s">
        <v>3</v>
      </c>
    </row>
    <row r="6" spans="1:8" ht="15" x14ac:dyDescent="0.25">
      <c r="A6" s="16" t="s">
        <v>137</v>
      </c>
      <c r="B6" s="16" t="s">
        <v>138</v>
      </c>
      <c r="C6" s="16" t="s">
        <v>139</v>
      </c>
      <c r="D6" s="16" t="s">
        <v>140</v>
      </c>
      <c r="E6" s="16" t="s">
        <v>37</v>
      </c>
      <c r="F6" s="16" t="s">
        <v>14</v>
      </c>
    </row>
    <row r="7" spans="1:8" ht="15" x14ac:dyDescent="0.25">
      <c r="A7" s="16" t="s">
        <v>141</v>
      </c>
      <c r="B7" s="16" t="s">
        <v>138</v>
      </c>
      <c r="C7" s="16" t="s">
        <v>139</v>
      </c>
      <c r="D7" s="16" t="s">
        <v>140</v>
      </c>
      <c r="E7" s="16" t="s">
        <v>38</v>
      </c>
      <c r="F7" s="16" t="s">
        <v>15</v>
      </c>
    </row>
    <row r="8" spans="1:8" ht="15" x14ac:dyDescent="0.25">
      <c r="A8" s="16" t="s">
        <v>142</v>
      </c>
      <c r="B8" s="16" t="s">
        <v>138</v>
      </c>
      <c r="C8" s="16" t="s">
        <v>139</v>
      </c>
      <c r="D8" s="16" t="s">
        <v>140</v>
      </c>
      <c r="E8" s="16" t="s">
        <v>39</v>
      </c>
      <c r="F8" s="16" t="s">
        <v>16</v>
      </c>
    </row>
    <row r="9" spans="1:8" ht="15" x14ac:dyDescent="0.25">
      <c r="A9" s="16" t="s">
        <v>143</v>
      </c>
      <c r="B9" s="16" t="s">
        <v>138</v>
      </c>
      <c r="C9" s="16" t="s">
        <v>144</v>
      </c>
      <c r="D9" s="16" t="s">
        <v>145</v>
      </c>
      <c r="E9" s="16" t="s">
        <v>31</v>
      </c>
      <c r="F9" s="16" t="s">
        <v>33</v>
      </c>
    </row>
    <row r="10" spans="1:8" ht="15" x14ac:dyDescent="0.25">
      <c r="A10" s="16" t="s">
        <v>146</v>
      </c>
      <c r="B10" s="16" t="s">
        <v>138</v>
      </c>
      <c r="C10" s="16" t="s">
        <v>144</v>
      </c>
      <c r="D10" s="16" t="s">
        <v>145</v>
      </c>
      <c r="E10" s="16" t="s">
        <v>32</v>
      </c>
      <c r="F10" s="16" t="s">
        <v>34</v>
      </c>
    </row>
    <row r="11" spans="1:8" ht="15" x14ac:dyDescent="0.25">
      <c r="A11" s="16" t="s">
        <v>147</v>
      </c>
      <c r="B11" s="16" t="s">
        <v>138</v>
      </c>
      <c r="C11" s="16" t="s">
        <v>148</v>
      </c>
      <c r="D11" s="16" t="s">
        <v>149</v>
      </c>
      <c r="E11" s="16" t="s">
        <v>35</v>
      </c>
      <c r="F11" s="16" t="s">
        <v>17</v>
      </c>
    </row>
    <row r="12" spans="1:8" ht="15" x14ac:dyDescent="0.25">
      <c r="A12" s="16" t="s">
        <v>150</v>
      </c>
      <c r="B12" s="16" t="s">
        <v>138</v>
      </c>
      <c r="C12" s="16" t="s">
        <v>148</v>
      </c>
      <c r="D12" s="16" t="s">
        <v>149</v>
      </c>
      <c r="E12" s="16" t="s">
        <v>36</v>
      </c>
      <c r="F12" s="16" t="s">
        <v>18</v>
      </c>
    </row>
    <row r="13" spans="1:8" ht="15" x14ac:dyDescent="0.25">
      <c r="A13" s="16" t="s">
        <v>151</v>
      </c>
      <c r="B13" s="16" t="s">
        <v>138</v>
      </c>
      <c r="C13" s="16" t="s">
        <v>152</v>
      </c>
      <c r="D13" s="16" t="s">
        <v>153</v>
      </c>
      <c r="E13" s="16" t="s">
        <v>40</v>
      </c>
      <c r="F13" s="16" t="s">
        <v>4</v>
      </c>
    </row>
    <row r="14" spans="1:8" ht="15" x14ac:dyDescent="0.25">
      <c r="A14" s="16" t="s">
        <v>154</v>
      </c>
      <c r="B14" s="16" t="s">
        <v>155</v>
      </c>
      <c r="C14" s="16" t="s">
        <v>156</v>
      </c>
      <c r="D14" s="16" t="s">
        <v>157</v>
      </c>
      <c r="E14" s="16" t="s">
        <v>41</v>
      </c>
      <c r="F14" s="16" t="s">
        <v>5</v>
      </c>
    </row>
    <row r="15" spans="1:8" ht="15" x14ac:dyDescent="0.25">
      <c r="A15" s="16" t="s">
        <v>158</v>
      </c>
      <c r="B15" s="16" t="s">
        <v>155</v>
      </c>
      <c r="C15" s="16" t="s">
        <v>156</v>
      </c>
      <c r="D15" s="16" t="s">
        <v>157</v>
      </c>
      <c r="E15" s="16" t="s">
        <v>42</v>
      </c>
      <c r="F15" s="16" t="s">
        <v>6</v>
      </c>
    </row>
    <row r="16" spans="1:8" ht="15" x14ac:dyDescent="0.25">
      <c r="A16" s="16" t="s">
        <v>159</v>
      </c>
      <c r="B16" s="16" t="s">
        <v>155</v>
      </c>
      <c r="C16" s="16" t="s">
        <v>156</v>
      </c>
      <c r="D16" s="16" t="s">
        <v>157</v>
      </c>
      <c r="E16" s="16" t="s">
        <v>43</v>
      </c>
      <c r="F16" s="16" t="s">
        <v>7</v>
      </c>
    </row>
    <row r="17" spans="1:6" ht="15" x14ac:dyDescent="0.25">
      <c r="A17" s="16" t="s">
        <v>160</v>
      </c>
      <c r="B17" s="16" t="s">
        <v>155</v>
      </c>
      <c r="C17" s="16" t="s">
        <v>161</v>
      </c>
      <c r="D17" s="16" t="s">
        <v>162</v>
      </c>
      <c r="E17" s="16" t="s">
        <v>44</v>
      </c>
      <c r="F17" s="16" t="s">
        <v>8</v>
      </c>
    </row>
    <row r="18" spans="1:6" ht="15" x14ac:dyDescent="0.25">
      <c r="A18" s="16" t="s">
        <v>163</v>
      </c>
      <c r="B18" s="16" t="s">
        <v>155</v>
      </c>
      <c r="C18" s="16" t="s">
        <v>161</v>
      </c>
      <c r="D18" s="16" t="s">
        <v>162</v>
      </c>
      <c r="E18" s="16" t="s">
        <v>45</v>
      </c>
      <c r="F18" s="16" t="s">
        <v>9</v>
      </c>
    </row>
    <row r="19" spans="1:6" ht="15" x14ac:dyDescent="0.25">
      <c r="A19" s="16" t="s">
        <v>164</v>
      </c>
      <c r="B19" s="16" t="s">
        <v>165</v>
      </c>
      <c r="C19" s="16" t="s">
        <v>144</v>
      </c>
      <c r="D19" s="16" t="s">
        <v>166</v>
      </c>
      <c r="E19" s="16" t="s">
        <v>46</v>
      </c>
      <c r="F19" s="16" t="s">
        <v>19</v>
      </c>
    </row>
    <row r="20" spans="1:6" ht="15" x14ac:dyDescent="0.25">
      <c r="A20" s="16" t="s">
        <v>167</v>
      </c>
      <c r="B20" s="16" t="s">
        <v>165</v>
      </c>
      <c r="C20" s="16" t="s">
        <v>148</v>
      </c>
      <c r="D20" s="16" t="s">
        <v>168</v>
      </c>
      <c r="E20" s="16" t="s">
        <v>47</v>
      </c>
      <c r="F20" s="16" t="s">
        <v>20</v>
      </c>
    </row>
    <row r="21" spans="1:6" ht="15" x14ac:dyDescent="0.25">
      <c r="A21" s="16" t="s">
        <v>169</v>
      </c>
      <c r="B21" s="16" t="s">
        <v>169</v>
      </c>
      <c r="C21" s="16" t="s">
        <v>130</v>
      </c>
      <c r="D21" s="16" t="s">
        <v>169</v>
      </c>
      <c r="E21" s="16" t="s">
        <v>26</v>
      </c>
      <c r="F21" s="16" t="s">
        <v>10</v>
      </c>
    </row>
    <row r="22" spans="1:6" ht="15" x14ac:dyDescent="0.25">
      <c r="A22" s="16" t="s">
        <v>170</v>
      </c>
      <c r="B22" s="16" t="s">
        <v>170</v>
      </c>
      <c r="C22" s="16" t="s">
        <v>130</v>
      </c>
      <c r="D22" s="16" t="s">
        <v>170</v>
      </c>
      <c r="E22" s="16" t="s">
        <v>27</v>
      </c>
      <c r="F22" s="16" t="s">
        <v>11</v>
      </c>
    </row>
    <row r="23" spans="1:6" ht="15" x14ac:dyDescent="0.25">
      <c r="A23" s="16" t="s">
        <v>171</v>
      </c>
      <c r="B23" s="16" t="s">
        <v>172</v>
      </c>
      <c r="C23" s="16" t="s">
        <v>130</v>
      </c>
      <c r="D23" s="16" t="s">
        <v>172</v>
      </c>
      <c r="E23" s="16" t="s">
        <v>49</v>
      </c>
      <c r="F23" s="16" t="s">
        <v>21</v>
      </c>
    </row>
    <row r="24" spans="1:6" ht="15" x14ac:dyDescent="0.25">
      <c r="A24" s="16" t="s">
        <v>173</v>
      </c>
      <c r="B24" s="16" t="s">
        <v>172</v>
      </c>
      <c r="C24" s="16" t="s">
        <v>130</v>
      </c>
      <c r="D24" s="16" t="s">
        <v>172</v>
      </c>
      <c r="E24" s="16" t="s">
        <v>50</v>
      </c>
      <c r="F24" s="16" t="s">
        <v>22</v>
      </c>
    </row>
    <row r="25" spans="1:6" ht="15" x14ac:dyDescent="0.25">
      <c r="A25" s="16" t="s">
        <v>174</v>
      </c>
      <c r="B25" s="16" t="s">
        <v>174</v>
      </c>
      <c r="C25" s="16" t="s">
        <v>130</v>
      </c>
      <c r="D25" s="16" t="s">
        <v>174</v>
      </c>
      <c r="E25" s="16" t="s">
        <v>48</v>
      </c>
      <c r="F25" s="16" t="s">
        <v>12</v>
      </c>
    </row>
    <row r="26" spans="1:6" ht="15" x14ac:dyDescent="0.25">
      <c r="A26" s="16" t="s">
        <v>175</v>
      </c>
      <c r="B26" s="16" t="s">
        <v>175</v>
      </c>
      <c r="C26" s="16" t="s">
        <v>130</v>
      </c>
      <c r="D26" s="16" t="s">
        <v>175</v>
      </c>
      <c r="E26" s="16" t="s">
        <v>28</v>
      </c>
      <c r="F26" s="16" t="s">
        <v>13</v>
      </c>
    </row>
    <row r="27" spans="1:6" ht="15" x14ac:dyDescent="0.25">
      <c r="A27" s="16" t="s">
        <v>176</v>
      </c>
      <c r="B27" s="16" t="s">
        <v>70</v>
      </c>
      <c r="C27" s="16" t="s">
        <v>130</v>
      </c>
      <c r="D27" s="16" t="s">
        <v>177</v>
      </c>
      <c r="E27" s="16" t="s">
        <v>178</v>
      </c>
      <c r="F27" s="16" t="s">
        <v>179</v>
      </c>
    </row>
    <row r="28" spans="1:6" ht="15" x14ac:dyDescent="0.25">
      <c r="A28" s="16" t="s">
        <v>180</v>
      </c>
      <c r="B28" s="16" t="s">
        <v>70</v>
      </c>
      <c r="C28" s="16" t="s">
        <v>130</v>
      </c>
      <c r="D28" s="16" t="s">
        <v>181</v>
      </c>
      <c r="E28" s="16" t="s">
        <v>182</v>
      </c>
      <c r="F28" s="16" t="s">
        <v>183</v>
      </c>
    </row>
    <row r="29" spans="1:6" ht="15" x14ac:dyDescent="0.25">
      <c r="A29" s="16" t="s">
        <v>184</v>
      </c>
      <c r="B29" s="16" t="s">
        <v>184</v>
      </c>
      <c r="C29" s="16" t="s">
        <v>130</v>
      </c>
      <c r="D29" s="16" t="s">
        <v>184</v>
      </c>
      <c r="E29" s="16" t="s">
        <v>185</v>
      </c>
      <c r="F29" s="16" t="s">
        <v>186</v>
      </c>
    </row>
    <row r="30" spans="1:6" ht="15" x14ac:dyDescent="0.25">
      <c r="A30" s="16" t="s">
        <v>187</v>
      </c>
      <c r="B30" s="16" t="s">
        <v>187</v>
      </c>
      <c r="C30" s="16" t="s">
        <v>130</v>
      </c>
      <c r="D30" s="16" t="s">
        <v>187</v>
      </c>
      <c r="E30" s="16" t="s">
        <v>188</v>
      </c>
      <c r="F30" s="16" t="s">
        <v>189</v>
      </c>
    </row>
    <row r="31" spans="1:6" ht="15" x14ac:dyDescent="0.25">
      <c r="A31" s="16" t="s">
        <v>190</v>
      </c>
      <c r="B31" s="16" t="s">
        <v>190</v>
      </c>
      <c r="C31" s="16" t="s">
        <v>130</v>
      </c>
      <c r="D31" s="16" t="s">
        <v>190</v>
      </c>
      <c r="E31" s="16" t="s">
        <v>191</v>
      </c>
      <c r="F31" s="16" t="s">
        <v>192</v>
      </c>
    </row>
    <row r="32" spans="1:6" ht="15" x14ac:dyDescent="0.25">
      <c r="A32" s="16" t="s">
        <v>193</v>
      </c>
      <c r="B32" s="16" t="s">
        <v>138</v>
      </c>
      <c r="C32" s="16" t="s">
        <v>194</v>
      </c>
      <c r="D32" s="16" t="s">
        <v>195</v>
      </c>
      <c r="E32" s="16" t="s">
        <v>196</v>
      </c>
      <c r="F32" s="16" t="s">
        <v>197</v>
      </c>
    </row>
    <row r="33" spans="1:6" ht="15" x14ac:dyDescent="0.25">
      <c r="A33" s="16" t="s">
        <v>198</v>
      </c>
      <c r="B33" s="16" t="s">
        <v>138</v>
      </c>
      <c r="C33" s="16" t="s">
        <v>199</v>
      </c>
      <c r="D33" s="16" t="s">
        <v>200</v>
      </c>
      <c r="E33" s="16" t="s">
        <v>201</v>
      </c>
      <c r="F33" s="16" t="s">
        <v>202</v>
      </c>
    </row>
    <row r="34" spans="1:6" ht="15" x14ac:dyDescent="0.25">
      <c r="A34" s="16" t="s">
        <v>203</v>
      </c>
      <c r="B34" s="16" t="s">
        <v>155</v>
      </c>
      <c r="C34" s="16" t="s">
        <v>204</v>
      </c>
      <c r="D34" s="16" t="s">
        <v>205</v>
      </c>
      <c r="E34" s="16" t="s">
        <v>206</v>
      </c>
      <c r="F34" s="16" t="s">
        <v>207</v>
      </c>
    </row>
    <row r="35" spans="1:6" ht="15" x14ac:dyDescent="0.25">
      <c r="A35" s="16" t="s">
        <v>208</v>
      </c>
      <c r="B35" s="16" t="s">
        <v>165</v>
      </c>
      <c r="C35" s="16" t="s">
        <v>194</v>
      </c>
      <c r="D35" s="16" t="s">
        <v>209</v>
      </c>
      <c r="E35" s="16" t="s">
        <v>210</v>
      </c>
      <c r="F35" s="16" t="s">
        <v>211</v>
      </c>
    </row>
    <row r="36" spans="1:6" x14ac:dyDescent="0.2">
      <c r="A36" s="20" t="s">
        <v>370</v>
      </c>
      <c r="B36" s="20" t="s">
        <v>138</v>
      </c>
      <c r="C36" s="20" t="s">
        <v>148</v>
      </c>
      <c r="D36" s="20" t="s">
        <v>149</v>
      </c>
      <c r="E36" s="20" t="s">
        <v>371</v>
      </c>
      <c r="F36" s="20" t="s">
        <v>372</v>
      </c>
    </row>
    <row r="37" spans="1:6" x14ac:dyDescent="0.2">
      <c r="A37" s="20" t="s">
        <v>373</v>
      </c>
      <c r="B37" s="20" t="s">
        <v>138</v>
      </c>
      <c r="C37" s="20" t="s">
        <v>148</v>
      </c>
      <c r="D37" s="20" t="s">
        <v>149</v>
      </c>
      <c r="E37" s="20" t="s">
        <v>374</v>
      </c>
      <c r="F37" s="20" t="s">
        <v>375</v>
      </c>
    </row>
    <row r="38" spans="1:6" x14ac:dyDescent="0.2">
      <c r="A38" s="20" t="s">
        <v>376</v>
      </c>
      <c r="B38" s="20" t="s">
        <v>138</v>
      </c>
      <c r="C38" s="20" t="s">
        <v>148</v>
      </c>
      <c r="D38" s="20" t="s">
        <v>149</v>
      </c>
      <c r="E38" s="20" t="s">
        <v>377</v>
      </c>
      <c r="F38" s="20" t="s">
        <v>378</v>
      </c>
    </row>
    <row r="39" spans="1:6" x14ac:dyDescent="0.2">
      <c r="A39" s="20" t="s">
        <v>379</v>
      </c>
      <c r="B39" s="20" t="s">
        <v>165</v>
      </c>
      <c r="C39" s="20" t="s">
        <v>144</v>
      </c>
      <c r="D39" s="20" t="s">
        <v>166</v>
      </c>
      <c r="E39" s="20" t="s">
        <v>380</v>
      </c>
      <c r="F39" s="20" t="s">
        <v>381</v>
      </c>
    </row>
    <row r="40" spans="1:6" x14ac:dyDescent="0.2">
      <c r="A40" s="20" t="s">
        <v>382</v>
      </c>
      <c r="B40" s="20" t="s">
        <v>165</v>
      </c>
      <c r="C40" s="20" t="s">
        <v>144</v>
      </c>
      <c r="D40" s="20" t="s">
        <v>166</v>
      </c>
      <c r="E40" s="20" t="s">
        <v>383</v>
      </c>
      <c r="F40" s="20" t="s">
        <v>384</v>
      </c>
    </row>
    <row r="41" spans="1:6" x14ac:dyDescent="0.2">
      <c r="A41" s="20" t="s">
        <v>385</v>
      </c>
      <c r="B41" s="20" t="s">
        <v>165</v>
      </c>
      <c r="C41" s="20" t="s">
        <v>148</v>
      </c>
      <c r="D41" s="20" t="s">
        <v>168</v>
      </c>
      <c r="E41" s="20" t="s">
        <v>386</v>
      </c>
      <c r="F41" s="20" t="s">
        <v>387</v>
      </c>
    </row>
    <row r="42" spans="1:6" x14ac:dyDescent="0.2">
      <c r="A42" s="20" t="s">
        <v>388</v>
      </c>
      <c r="B42" s="20" t="s">
        <v>165</v>
      </c>
      <c r="C42" s="20" t="s">
        <v>144</v>
      </c>
      <c r="D42" s="20" t="s">
        <v>166</v>
      </c>
      <c r="E42" s="20" t="s">
        <v>389</v>
      </c>
      <c r="F42" s="20" t="s">
        <v>390</v>
      </c>
    </row>
    <row r="43" spans="1:6" x14ac:dyDescent="0.2">
      <c r="A43" s="20" t="s">
        <v>391</v>
      </c>
      <c r="B43" s="20" t="s">
        <v>138</v>
      </c>
      <c r="C43" s="20" t="s">
        <v>139</v>
      </c>
      <c r="D43" s="20" t="s">
        <v>140</v>
      </c>
      <c r="E43" s="20" t="s">
        <v>392</v>
      </c>
      <c r="F43" s="20" t="s">
        <v>393</v>
      </c>
    </row>
    <row r="44" spans="1:6" x14ac:dyDescent="0.2">
      <c r="A44" s="20" t="s">
        <v>394</v>
      </c>
      <c r="B44" s="20" t="s">
        <v>138</v>
      </c>
      <c r="C44" s="20" t="s">
        <v>139</v>
      </c>
      <c r="D44" s="20" t="s">
        <v>140</v>
      </c>
      <c r="E44" s="20" t="s">
        <v>395</v>
      </c>
      <c r="F44" s="20" t="s">
        <v>396</v>
      </c>
    </row>
    <row r="45" spans="1:6" x14ac:dyDescent="0.2">
      <c r="A45" s="20" t="s">
        <v>397</v>
      </c>
      <c r="B45" s="20" t="s">
        <v>172</v>
      </c>
      <c r="C45" s="20" t="s">
        <v>130</v>
      </c>
      <c r="D45" s="20" t="s">
        <v>172</v>
      </c>
      <c r="E45" s="20" t="s">
        <v>398</v>
      </c>
      <c r="F45" s="20" t="s">
        <v>399</v>
      </c>
    </row>
    <row r="46" spans="1:6" x14ac:dyDescent="0.2">
      <c r="A46" s="20" t="s">
        <v>400</v>
      </c>
      <c r="B46" s="20" t="s">
        <v>172</v>
      </c>
      <c r="C46" s="20" t="s">
        <v>130</v>
      </c>
      <c r="D46" s="20" t="s">
        <v>172</v>
      </c>
      <c r="E46" s="20" t="s">
        <v>401</v>
      </c>
      <c r="F46" s="20" t="s">
        <v>402</v>
      </c>
    </row>
    <row r="47" spans="1:6" x14ac:dyDescent="0.2">
      <c r="A47" s="20" t="s">
        <v>403</v>
      </c>
      <c r="B47" s="20" t="s">
        <v>155</v>
      </c>
      <c r="C47" s="20" t="s">
        <v>156</v>
      </c>
      <c r="D47" s="20" t="s">
        <v>157</v>
      </c>
      <c r="E47" s="20" t="s">
        <v>404</v>
      </c>
      <c r="F47" s="20" t="s">
        <v>405</v>
      </c>
    </row>
    <row r="48" spans="1:6" x14ac:dyDescent="0.2">
      <c r="A48" s="20" t="s">
        <v>406</v>
      </c>
      <c r="B48" s="20" t="s">
        <v>155</v>
      </c>
      <c r="C48" s="20" t="s">
        <v>156</v>
      </c>
      <c r="D48" s="20" t="s">
        <v>157</v>
      </c>
      <c r="E48" s="20" t="s">
        <v>407</v>
      </c>
      <c r="F48" s="20" t="s">
        <v>408</v>
      </c>
    </row>
    <row r="49" spans="1:6" x14ac:dyDescent="0.2">
      <c r="A49" s="20" t="s">
        <v>409</v>
      </c>
      <c r="B49" s="20" t="s">
        <v>172</v>
      </c>
      <c r="C49" s="20" t="s">
        <v>130</v>
      </c>
      <c r="D49" s="20" t="s">
        <v>172</v>
      </c>
      <c r="E49" s="20" t="s">
        <v>410</v>
      </c>
      <c r="F49" s="20" t="s">
        <v>411</v>
      </c>
    </row>
    <row r="50" spans="1:6" x14ac:dyDescent="0.2">
      <c r="A50" s="20" t="s">
        <v>412</v>
      </c>
      <c r="B50" s="20" t="s">
        <v>172</v>
      </c>
      <c r="C50" s="20" t="s">
        <v>130</v>
      </c>
      <c r="D50" s="20" t="s">
        <v>172</v>
      </c>
      <c r="E50" s="20" t="s">
        <v>413</v>
      </c>
      <c r="F50" s="20" t="s">
        <v>414</v>
      </c>
    </row>
    <row r="51" spans="1:6" x14ac:dyDescent="0.2">
      <c r="A51" s="20" t="s">
        <v>415</v>
      </c>
      <c r="B51" s="20" t="s">
        <v>172</v>
      </c>
      <c r="C51" s="20" t="s">
        <v>130</v>
      </c>
      <c r="D51" s="20" t="s">
        <v>172</v>
      </c>
      <c r="E51" s="20" t="s">
        <v>416</v>
      </c>
      <c r="F51" s="20" t="s">
        <v>417</v>
      </c>
    </row>
    <row r="52" spans="1:6" x14ac:dyDescent="0.2">
      <c r="A52" s="20" t="s">
        <v>418</v>
      </c>
      <c r="B52" s="20" t="s">
        <v>172</v>
      </c>
      <c r="C52" s="20" t="s">
        <v>130</v>
      </c>
      <c r="D52" s="20" t="s">
        <v>172</v>
      </c>
      <c r="E52" s="20" t="s">
        <v>419</v>
      </c>
      <c r="F52" s="20" t="s">
        <v>420</v>
      </c>
    </row>
    <row r="53" spans="1:6" x14ac:dyDescent="0.2">
      <c r="A53" s="20" t="s">
        <v>421</v>
      </c>
      <c r="B53" s="20" t="s">
        <v>172</v>
      </c>
      <c r="C53" s="20" t="s">
        <v>130</v>
      </c>
      <c r="D53" s="20" t="s">
        <v>172</v>
      </c>
      <c r="E53" s="20" t="s">
        <v>422</v>
      </c>
      <c r="F53" s="20" t="s">
        <v>423</v>
      </c>
    </row>
    <row r="54" spans="1:6" x14ac:dyDescent="0.2">
      <c r="A54" s="20" t="s">
        <v>424</v>
      </c>
      <c r="B54" s="20" t="s">
        <v>172</v>
      </c>
      <c r="C54" s="20" t="s">
        <v>130</v>
      </c>
      <c r="D54" s="20" t="s">
        <v>172</v>
      </c>
      <c r="E54" s="20" t="s">
        <v>425</v>
      </c>
      <c r="F54" s="20" t="s">
        <v>426</v>
      </c>
    </row>
    <row r="55" spans="1:6" x14ac:dyDescent="0.2">
      <c r="A55" s="20" t="s">
        <v>427</v>
      </c>
      <c r="B55" s="20" t="s">
        <v>172</v>
      </c>
      <c r="C55" s="20" t="s">
        <v>130</v>
      </c>
      <c r="D55" s="20" t="s">
        <v>172</v>
      </c>
      <c r="E55" s="20" t="s">
        <v>428</v>
      </c>
      <c r="F55" s="20" t="s">
        <v>429</v>
      </c>
    </row>
    <row r="56" spans="1:6" x14ac:dyDescent="0.2">
      <c r="A56" s="20" t="s">
        <v>430</v>
      </c>
      <c r="B56" s="20" t="s">
        <v>172</v>
      </c>
      <c r="C56" s="20" t="s">
        <v>130</v>
      </c>
      <c r="D56" s="20" t="s">
        <v>172</v>
      </c>
      <c r="E56" s="20" t="s">
        <v>431</v>
      </c>
      <c r="F56" s="20" t="s">
        <v>432</v>
      </c>
    </row>
    <row r="57" spans="1:6" x14ac:dyDescent="0.2">
      <c r="A57" s="20" t="s">
        <v>433</v>
      </c>
      <c r="B57" s="20" t="s">
        <v>172</v>
      </c>
      <c r="C57" s="20" t="s">
        <v>130</v>
      </c>
      <c r="D57" s="20" t="s">
        <v>172</v>
      </c>
      <c r="E57" s="20" t="s">
        <v>434</v>
      </c>
      <c r="F57" s="20" t="s">
        <v>435</v>
      </c>
    </row>
    <row r="58" spans="1:6" x14ac:dyDescent="0.2">
      <c r="A58" s="20" t="s">
        <v>436</v>
      </c>
      <c r="B58" s="20" t="s">
        <v>172</v>
      </c>
      <c r="C58" s="20" t="s">
        <v>130</v>
      </c>
      <c r="D58" s="20" t="s">
        <v>172</v>
      </c>
      <c r="E58" s="20" t="s">
        <v>437</v>
      </c>
      <c r="F58" s="20" t="s">
        <v>438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ayfa2"/>
  <dimension ref="B1:D141"/>
  <sheetViews>
    <sheetView workbookViewId="0"/>
  </sheetViews>
  <sheetFormatPr defaultRowHeight="15" x14ac:dyDescent="0.25"/>
  <cols>
    <col min="1" max="1" width="9.140625" style="3"/>
    <col min="2" max="2" width="4" style="3" bestFit="1" customWidth="1"/>
    <col min="3" max="3" width="34.28515625" style="3" bestFit="1" customWidth="1"/>
    <col min="4" max="4" width="36.140625" style="3" bestFit="1" customWidth="1"/>
    <col min="5" max="5" width="9.140625" style="3"/>
    <col min="6" max="6" width="40" style="3" bestFit="1" customWidth="1"/>
    <col min="7" max="16384" width="9.140625" style="3"/>
  </cols>
  <sheetData>
    <row r="1" spans="2:4" x14ac:dyDescent="0.25">
      <c r="B1" s="9" t="s">
        <v>70</v>
      </c>
      <c r="C1" s="7" t="s">
        <v>29</v>
      </c>
      <c r="D1" s="2" t="s">
        <v>30</v>
      </c>
    </row>
    <row r="2" spans="2:4" x14ac:dyDescent="0.25">
      <c r="B2" s="8">
        <v>1</v>
      </c>
      <c r="C2" s="4" t="s">
        <v>23</v>
      </c>
      <c r="D2" s="4" t="s">
        <v>1</v>
      </c>
    </row>
    <row r="3" spans="2:4" x14ac:dyDescent="0.25">
      <c r="B3" s="8">
        <v>2</v>
      </c>
      <c r="C3" s="4" t="s">
        <v>24</v>
      </c>
      <c r="D3" s="4" t="s">
        <v>0</v>
      </c>
    </row>
    <row r="4" spans="2:4" x14ac:dyDescent="0.25">
      <c r="B4" s="8">
        <v>3</v>
      </c>
      <c r="C4" s="4" t="s">
        <v>25</v>
      </c>
      <c r="D4" s="4" t="s">
        <v>2</v>
      </c>
    </row>
    <row r="5" spans="2:4" x14ac:dyDescent="0.25">
      <c r="B5" s="8">
        <v>4</v>
      </c>
      <c r="C5" s="4" t="s">
        <v>53</v>
      </c>
      <c r="D5" s="4" t="s">
        <v>3</v>
      </c>
    </row>
    <row r="6" spans="2:4" x14ac:dyDescent="0.25">
      <c r="B6" s="8">
        <v>5</v>
      </c>
      <c r="C6" s="4" t="s">
        <v>37</v>
      </c>
      <c r="D6" s="4" t="s">
        <v>14</v>
      </c>
    </row>
    <row r="7" spans="2:4" x14ac:dyDescent="0.25">
      <c r="B7" s="8">
        <v>6</v>
      </c>
      <c r="C7" s="4" t="s">
        <v>38</v>
      </c>
      <c r="D7" s="4" t="s">
        <v>15</v>
      </c>
    </row>
    <row r="8" spans="2:4" x14ac:dyDescent="0.25">
      <c r="B8" s="8">
        <v>7</v>
      </c>
      <c r="C8" s="4" t="s">
        <v>39</v>
      </c>
      <c r="D8" s="4" t="s">
        <v>16</v>
      </c>
    </row>
    <row r="9" spans="2:4" x14ac:dyDescent="0.25">
      <c r="B9" s="8">
        <v>8</v>
      </c>
      <c r="C9" s="4" t="s">
        <v>31</v>
      </c>
      <c r="D9" s="4" t="s">
        <v>33</v>
      </c>
    </row>
    <row r="10" spans="2:4" x14ac:dyDescent="0.25">
      <c r="B10" s="8">
        <v>9</v>
      </c>
      <c r="C10" s="4" t="s">
        <v>32</v>
      </c>
      <c r="D10" s="4" t="s">
        <v>34</v>
      </c>
    </row>
    <row r="11" spans="2:4" x14ac:dyDescent="0.25">
      <c r="B11" s="8">
        <v>10</v>
      </c>
      <c r="C11" s="4" t="s">
        <v>35</v>
      </c>
      <c r="D11" s="4" t="s">
        <v>17</v>
      </c>
    </row>
    <row r="12" spans="2:4" x14ac:dyDescent="0.25">
      <c r="B12" s="8">
        <v>11</v>
      </c>
      <c r="C12" s="4" t="s">
        <v>36</v>
      </c>
      <c r="D12" s="4" t="s">
        <v>18</v>
      </c>
    </row>
    <row r="13" spans="2:4" x14ac:dyDescent="0.25">
      <c r="B13" s="8">
        <v>12</v>
      </c>
      <c r="C13" s="4" t="s">
        <v>40</v>
      </c>
      <c r="D13" s="4" t="s">
        <v>4</v>
      </c>
    </row>
    <row r="14" spans="2:4" x14ac:dyDescent="0.25">
      <c r="B14" s="8">
        <v>13</v>
      </c>
      <c r="C14" s="4" t="s">
        <v>41</v>
      </c>
      <c r="D14" s="4" t="s">
        <v>5</v>
      </c>
    </row>
    <row r="15" spans="2:4" x14ac:dyDescent="0.25">
      <c r="B15" s="8">
        <v>14</v>
      </c>
      <c r="C15" s="4" t="s">
        <v>42</v>
      </c>
      <c r="D15" s="4" t="s">
        <v>6</v>
      </c>
    </row>
    <row r="16" spans="2:4" x14ac:dyDescent="0.25">
      <c r="B16" s="8">
        <v>15</v>
      </c>
      <c r="C16" s="4" t="s">
        <v>43</v>
      </c>
      <c r="D16" s="4" t="s">
        <v>7</v>
      </c>
    </row>
    <row r="17" spans="2:4" x14ac:dyDescent="0.25">
      <c r="B17" s="8">
        <v>16</v>
      </c>
      <c r="C17" s="4" t="s">
        <v>44</v>
      </c>
      <c r="D17" s="4" t="s">
        <v>8</v>
      </c>
    </row>
    <row r="18" spans="2:4" x14ac:dyDescent="0.25">
      <c r="B18" s="8">
        <v>17</v>
      </c>
      <c r="C18" s="4" t="s">
        <v>45</v>
      </c>
      <c r="D18" s="4" t="s">
        <v>9</v>
      </c>
    </row>
    <row r="19" spans="2:4" x14ac:dyDescent="0.25">
      <c r="B19" s="8">
        <v>18</v>
      </c>
      <c r="C19" s="4" t="s">
        <v>46</v>
      </c>
      <c r="D19" s="4" t="s">
        <v>19</v>
      </c>
    </row>
    <row r="20" spans="2:4" x14ac:dyDescent="0.25">
      <c r="B20" s="8">
        <v>19</v>
      </c>
      <c r="C20" s="4" t="s">
        <v>47</v>
      </c>
      <c r="D20" s="4" t="s">
        <v>20</v>
      </c>
    </row>
    <row r="21" spans="2:4" x14ac:dyDescent="0.25">
      <c r="B21" s="8">
        <v>20</v>
      </c>
      <c r="C21" s="4" t="s">
        <v>26</v>
      </c>
      <c r="D21" s="4" t="s">
        <v>10</v>
      </c>
    </row>
    <row r="22" spans="2:4" x14ac:dyDescent="0.25">
      <c r="B22" s="8">
        <v>21</v>
      </c>
      <c r="C22" s="4" t="s">
        <v>27</v>
      </c>
      <c r="D22" s="4" t="s">
        <v>11</v>
      </c>
    </row>
    <row r="23" spans="2:4" x14ac:dyDescent="0.25">
      <c r="B23" s="8">
        <v>22</v>
      </c>
      <c r="C23" s="4" t="s">
        <v>49</v>
      </c>
      <c r="D23" s="4" t="s">
        <v>21</v>
      </c>
    </row>
    <row r="24" spans="2:4" x14ac:dyDescent="0.25">
      <c r="B24" s="8">
        <v>23</v>
      </c>
      <c r="C24" s="4" t="s">
        <v>50</v>
      </c>
      <c r="D24" s="4" t="s">
        <v>22</v>
      </c>
    </row>
    <row r="25" spans="2:4" x14ac:dyDescent="0.25">
      <c r="B25" s="8">
        <v>24</v>
      </c>
      <c r="C25" s="4" t="s">
        <v>48</v>
      </c>
      <c r="D25" s="4" t="s">
        <v>12</v>
      </c>
    </row>
    <row r="26" spans="2:4" x14ac:dyDescent="0.25">
      <c r="B26" s="8">
        <v>25</v>
      </c>
      <c r="C26" s="4" t="s">
        <v>28</v>
      </c>
      <c r="D26" s="4" t="s">
        <v>13</v>
      </c>
    </row>
    <row r="27" spans="2:4" x14ac:dyDescent="0.25">
      <c r="B27" s="8">
        <v>26</v>
      </c>
      <c r="C27" s="4" t="s">
        <v>51</v>
      </c>
      <c r="D27" s="4" t="s">
        <v>52</v>
      </c>
    </row>
    <row r="28" spans="2:4" x14ac:dyDescent="0.25">
      <c r="B28" s="8">
        <v>27</v>
      </c>
      <c r="C28" s="4" t="s">
        <v>447</v>
      </c>
      <c r="D28" s="4" t="s">
        <v>448</v>
      </c>
    </row>
    <row r="29" spans="2:4" x14ac:dyDescent="0.25">
      <c r="B29" s="8">
        <v>28</v>
      </c>
      <c r="C29" s="4" t="s">
        <v>64</v>
      </c>
      <c r="D29" s="4" t="s">
        <v>65</v>
      </c>
    </row>
    <row r="30" spans="2:4" x14ac:dyDescent="0.25">
      <c r="B30" s="8">
        <v>29</v>
      </c>
      <c r="C30" s="4" t="s">
        <v>54</v>
      </c>
      <c r="D30" s="4" t="s">
        <v>55</v>
      </c>
    </row>
    <row r="31" spans="2:4" x14ac:dyDescent="0.25">
      <c r="B31" s="8">
        <v>30</v>
      </c>
      <c r="C31" s="4" t="s">
        <v>57</v>
      </c>
      <c r="D31" s="4" t="s">
        <v>56</v>
      </c>
    </row>
    <row r="32" spans="2:4" x14ac:dyDescent="0.25">
      <c r="B32" s="8">
        <v>31</v>
      </c>
      <c r="C32" s="4" t="s">
        <v>58</v>
      </c>
      <c r="D32" s="4" t="s">
        <v>59</v>
      </c>
    </row>
    <row r="33" spans="2:4" x14ac:dyDescent="0.25">
      <c r="B33" s="8">
        <v>32</v>
      </c>
      <c r="C33" s="4" t="s">
        <v>60</v>
      </c>
      <c r="D33" s="4" t="s">
        <v>61</v>
      </c>
    </row>
    <row r="34" spans="2:4" x14ac:dyDescent="0.25">
      <c r="B34" s="8">
        <v>33</v>
      </c>
      <c r="C34" s="4" t="s">
        <v>62</v>
      </c>
      <c r="D34" s="4" t="s">
        <v>63</v>
      </c>
    </row>
    <row r="35" spans="2:4" x14ac:dyDescent="0.25">
      <c r="B35" s="8">
        <v>34</v>
      </c>
      <c r="C35" s="4" t="s">
        <v>213</v>
      </c>
      <c r="D35" s="4" t="s">
        <v>214</v>
      </c>
    </row>
    <row r="36" spans="2:4" x14ac:dyDescent="0.25">
      <c r="B36" s="8">
        <v>35</v>
      </c>
      <c r="C36" s="4" t="s">
        <v>215</v>
      </c>
      <c r="D36" s="4" t="s">
        <v>216</v>
      </c>
    </row>
    <row r="37" spans="2:4" x14ac:dyDescent="0.25">
      <c r="B37" s="8">
        <v>36</v>
      </c>
      <c r="C37" s="4" t="s">
        <v>217</v>
      </c>
      <c r="D37" s="4" t="s">
        <v>218</v>
      </c>
    </row>
    <row r="38" spans="2:4" x14ac:dyDescent="0.25">
      <c r="B38" s="8">
        <v>37</v>
      </c>
      <c r="C38" s="4" t="s">
        <v>219</v>
      </c>
      <c r="D38" s="4" t="s">
        <v>220</v>
      </c>
    </row>
    <row r="39" spans="2:4" x14ac:dyDescent="0.25">
      <c r="B39" s="8">
        <v>38</v>
      </c>
      <c r="C39" s="4" t="s">
        <v>221</v>
      </c>
      <c r="D39" s="4" t="s">
        <v>222</v>
      </c>
    </row>
    <row r="40" spans="2:4" x14ac:dyDescent="0.25">
      <c r="B40" s="8">
        <v>39</v>
      </c>
      <c r="C40" s="4" t="s">
        <v>445</v>
      </c>
      <c r="D40" s="4" t="s">
        <v>446</v>
      </c>
    </row>
    <row r="41" spans="2:4" x14ac:dyDescent="0.25">
      <c r="B41" s="8">
        <v>40</v>
      </c>
      <c r="C41" s="4" t="s">
        <v>224</v>
      </c>
      <c r="D41" s="4" t="s">
        <v>225</v>
      </c>
    </row>
    <row r="42" spans="2:4" x14ac:dyDescent="0.25">
      <c r="B42" s="8">
        <v>41</v>
      </c>
      <c r="C42" s="4" t="s">
        <v>226</v>
      </c>
      <c r="D42" s="4" t="s">
        <v>227</v>
      </c>
    </row>
    <row r="43" spans="2:4" x14ac:dyDescent="0.25">
      <c r="B43" s="8">
        <v>42</v>
      </c>
      <c r="C43" s="4" t="s">
        <v>228</v>
      </c>
      <c r="D43" s="4" t="s">
        <v>229</v>
      </c>
    </row>
    <row r="44" spans="2:4" x14ac:dyDescent="0.25">
      <c r="B44" s="8">
        <v>43</v>
      </c>
      <c r="C44" s="4" t="s">
        <v>230</v>
      </c>
      <c r="D44" s="4" t="s">
        <v>231</v>
      </c>
    </row>
    <row r="45" spans="2:4" x14ac:dyDescent="0.25">
      <c r="B45" s="8">
        <v>44</v>
      </c>
      <c r="C45" s="4" t="s">
        <v>232</v>
      </c>
      <c r="D45" s="4" t="s">
        <v>233</v>
      </c>
    </row>
    <row r="46" spans="2:4" x14ac:dyDescent="0.25">
      <c r="B46" s="8">
        <v>45</v>
      </c>
      <c r="C46" s="4" t="s">
        <v>234</v>
      </c>
      <c r="D46" s="4" t="s">
        <v>235</v>
      </c>
    </row>
    <row r="47" spans="2:4" x14ac:dyDescent="0.25">
      <c r="B47" s="8">
        <v>46</v>
      </c>
      <c r="C47" s="4" t="s">
        <v>236</v>
      </c>
      <c r="D47" s="4" t="s">
        <v>237</v>
      </c>
    </row>
    <row r="48" spans="2:4" x14ac:dyDescent="0.25">
      <c r="B48" s="8">
        <v>47</v>
      </c>
      <c r="C48" s="4" t="s">
        <v>238</v>
      </c>
      <c r="D48" s="4" t="s">
        <v>239</v>
      </c>
    </row>
    <row r="49" spans="2:4" x14ac:dyDescent="0.25">
      <c r="B49" s="8">
        <v>48</v>
      </c>
      <c r="C49" s="4" t="s">
        <v>240</v>
      </c>
      <c r="D49" s="4" t="s">
        <v>241</v>
      </c>
    </row>
    <row r="50" spans="2:4" x14ac:dyDescent="0.25">
      <c r="B50" s="8">
        <v>49</v>
      </c>
      <c r="C50" s="4" t="s">
        <v>242</v>
      </c>
      <c r="D50" s="4" t="s">
        <v>243</v>
      </c>
    </row>
    <row r="51" spans="2:4" x14ac:dyDescent="0.25">
      <c r="B51" s="8">
        <v>50</v>
      </c>
      <c r="C51" s="4" t="s">
        <v>244</v>
      </c>
      <c r="D51" s="4" t="s">
        <v>245</v>
      </c>
    </row>
    <row r="52" spans="2:4" x14ac:dyDescent="0.25">
      <c r="B52" s="8">
        <v>51</v>
      </c>
      <c r="C52" s="4" t="s">
        <v>246</v>
      </c>
      <c r="D52" s="4" t="s">
        <v>247</v>
      </c>
    </row>
    <row r="53" spans="2:4" x14ac:dyDescent="0.25">
      <c r="B53" s="8">
        <v>52</v>
      </c>
      <c r="C53" s="4" t="s">
        <v>248</v>
      </c>
      <c r="D53" s="4" t="s">
        <v>249</v>
      </c>
    </row>
    <row r="54" spans="2:4" x14ac:dyDescent="0.25">
      <c r="B54" s="8">
        <v>53</v>
      </c>
      <c r="C54" s="4" t="s">
        <v>250</v>
      </c>
      <c r="D54" s="4" t="s">
        <v>251</v>
      </c>
    </row>
    <row r="55" spans="2:4" x14ac:dyDescent="0.25">
      <c r="B55" s="8">
        <v>54</v>
      </c>
      <c r="C55" s="4" t="s">
        <v>252</v>
      </c>
      <c r="D55" s="4" t="s">
        <v>253</v>
      </c>
    </row>
    <row r="56" spans="2:4" x14ac:dyDescent="0.25">
      <c r="B56" s="8">
        <v>55</v>
      </c>
      <c r="C56" s="4" t="s">
        <v>254</v>
      </c>
      <c r="D56" s="4" t="s">
        <v>255</v>
      </c>
    </row>
    <row r="57" spans="2:4" x14ac:dyDescent="0.25">
      <c r="B57" s="8">
        <v>56</v>
      </c>
      <c r="C57" s="4" t="s">
        <v>256</v>
      </c>
      <c r="D57" s="4" t="s">
        <v>257</v>
      </c>
    </row>
    <row r="58" spans="2:4" x14ac:dyDescent="0.25">
      <c r="B58" s="8">
        <v>57</v>
      </c>
      <c r="C58" s="4" t="s">
        <v>258</v>
      </c>
      <c r="D58" s="4" t="s">
        <v>259</v>
      </c>
    </row>
    <row r="59" spans="2:4" x14ac:dyDescent="0.25">
      <c r="B59" s="8">
        <v>58</v>
      </c>
      <c r="C59" s="4" t="s">
        <v>260</v>
      </c>
      <c r="D59" s="4" t="s">
        <v>261</v>
      </c>
    </row>
    <row r="60" spans="2:4" x14ac:dyDescent="0.25">
      <c r="B60" s="8">
        <v>59</v>
      </c>
      <c r="C60" s="4" t="s">
        <v>262</v>
      </c>
      <c r="D60" s="4" t="s">
        <v>263</v>
      </c>
    </row>
    <row r="61" spans="2:4" x14ac:dyDescent="0.25">
      <c r="B61" s="8">
        <v>60</v>
      </c>
      <c r="C61" s="4" t="s">
        <v>264</v>
      </c>
      <c r="D61" s="4" t="s">
        <v>265</v>
      </c>
    </row>
    <row r="62" spans="2:4" x14ac:dyDescent="0.25">
      <c r="B62" s="8">
        <v>61</v>
      </c>
      <c r="C62" s="4" t="s">
        <v>266</v>
      </c>
      <c r="D62" s="4" t="s">
        <v>267</v>
      </c>
    </row>
    <row r="63" spans="2:4" x14ac:dyDescent="0.25">
      <c r="B63" s="8">
        <v>62</v>
      </c>
      <c r="C63" s="4" t="s">
        <v>268</v>
      </c>
      <c r="D63" s="4" t="s">
        <v>269</v>
      </c>
    </row>
    <row r="64" spans="2:4" x14ac:dyDescent="0.25">
      <c r="B64" s="8">
        <v>63</v>
      </c>
      <c r="C64" s="4" t="s">
        <v>270</v>
      </c>
      <c r="D64" s="4" t="s">
        <v>271</v>
      </c>
    </row>
    <row r="65" spans="2:4" x14ac:dyDescent="0.25">
      <c r="B65" s="8">
        <v>64</v>
      </c>
      <c r="C65" s="4" t="s">
        <v>272</v>
      </c>
      <c r="D65" s="4" t="s">
        <v>273</v>
      </c>
    </row>
    <row r="66" spans="2:4" x14ac:dyDescent="0.25">
      <c r="B66" s="8">
        <v>65</v>
      </c>
      <c r="C66" s="4" t="s">
        <v>274</v>
      </c>
      <c r="D66" s="4" t="s">
        <v>275</v>
      </c>
    </row>
    <row r="67" spans="2:4" x14ac:dyDescent="0.25">
      <c r="B67" s="8">
        <v>66</v>
      </c>
      <c r="C67" s="4" t="s">
        <v>276</v>
      </c>
      <c r="D67" s="4" t="s">
        <v>277</v>
      </c>
    </row>
    <row r="68" spans="2:4" x14ac:dyDescent="0.25">
      <c r="B68" s="8">
        <v>67</v>
      </c>
      <c r="C68" s="4" t="s">
        <v>278</v>
      </c>
      <c r="D68" s="4" t="s">
        <v>279</v>
      </c>
    </row>
    <row r="69" spans="2:4" x14ac:dyDescent="0.25">
      <c r="B69" s="8">
        <v>68</v>
      </c>
      <c r="C69" s="4" t="s">
        <v>280</v>
      </c>
      <c r="D69" s="4" t="s">
        <v>281</v>
      </c>
    </row>
    <row r="70" spans="2:4" x14ac:dyDescent="0.25">
      <c r="B70" s="8">
        <v>69</v>
      </c>
      <c r="C70" s="4" t="s">
        <v>282</v>
      </c>
      <c r="D70" s="4" t="s">
        <v>283</v>
      </c>
    </row>
    <row r="71" spans="2:4" x14ac:dyDescent="0.25">
      <c r="B71" s="8">
        <v>70</v>
      </c>
      <c r="C71" s="4" t="s">
        <v>284</v>
      </c>
      <c r="D71" s="4" t="s">
        <v>285</v>
      </c>
    </row>
    <row r="72" spans="2:4" x14ac:dyDescent="0.25">
      <c r="B72" s="8">
        <v>71</v>
      </c>
      <c r="C72" s="4" t="s">
        <v>286</v>
      </c>
      <c r="D72" s="4" t="s">
        <v>287</v>
      </c>
    </row>
    <row r="73" spans="2:4" x14ac:dyDescent="0.25">
      <c r="B73" s="8">
        <v>72</v>
      </c>
      <c r="C73" s="4" t="s">
        <v>288</v>
      </c>
      <c r="D73" s="4" t="s">
        <v>289</v>
      </c>
    </row>
    <row r="74" spans="2:4" x14ac:dyDescent="0.25">
      <c r="B74" s="8">
        <v>73</v>
      </c>
      <c r="C74" s="4" t="s">
        <v>290</v>
      </c>
      <c r="D74" s="4" t="s">
        <v>291</v>
      </c>
    </row>
    <row r="75" spans="2:4" x14ac:dyDescent="0.25">
      <c r="B75" s="8">
        <v>74</v>
      </c>
      <c r="C75" s="4" t="s">
        <v>292</v>
      </c>
      <c r="D75" s="4" t="s">
        <v>293</v>
      </c>
    </row>
    <row r="76" spans="2:4" x14ac:dyDescent="0.25">
      <c r="B76" s="8">
        <v>75</v>
      </c>
      <c r="C76" s="4" t="s">
        <v>294</v>
      </c>
      <c r="D76" s="4" t="s">
        <v>295</v>
      </c>
    </row>
    <row r="77" spans="2:4" x14ac:dyDescent="0.25">
      <c r="B77" s="8">
        <v>76</v>
      </c>
      <c r="C77" s="4" t="s">
        <v>296</v>
      </c>
      <c r="D77" s="4" t="s">
        <v>297</v>
      </c>
    </row>
    <row r="78" spans="2:4" x14ac:dyDescent="0.25">
      <c r="B78" s="8">
        <v>77</v>
      </c>
      <c r="C78" s="4" t="s">
        <v>298</v>
      </c>
      <c r="D78" s="4" t="s">
        <v>299</v>
      </c>
    </row>
    <row r="79" spans="2:4" x14ac:dyDescent="0.25">
      <c r="B79" s="8">
        <v>78</v>
      </c>
      <c r="C79" s="4" t="s">
        <v>300</v>
      </c>
      <c r="D79" s="4" t="s">
        <v>301</v>
      </c>
    </row>
    <row r="80" spans="2:4" x14ac:dyDescent="0.25">
      <c r="B80" s="8">
        <v>79</v>
      </c>
      <c r="C80" s="4" t="s">
        <v>302</v>
      </c>
      <c r="D80" s="4" t="s">
        <v>303</v>
      </c>
    </row>
    <row r="81" spans="2:4" x14ac:dyDescent="0.25">
      <c r="B81" s="8">
        <v>80</v>
      </c>
      <c r="C81" s="4" t="s">
        <v>304</v>
      </c>
      <c r="D81" s="4" t="s">
        <v>305</v>
      </c>
    </row>
    <row r="82" spans="2:4" x14ac:dyDescent="0.25">
      <c r="B82" s="8">
        <v>81</v>
      </c>
      <c r="C82" s="4" t="s">
        <v>306</v>
      </c>
      <c r="D82" s="4" t="s">
        <v>307</v>
      </c>
    </row>
    <row r="83" spans="2:4" x14ac:dyDescent="0.25">
      <c r="B83" s="8">
        <v>82</v>
      </c>
      <c r="C83" s="4" t="s">
        <v>308</v>
      </c>
      <c r="D83" s="4" t="s">
        <v>309</v>
      </c>
    </row>
    <row r="84" spans="2:4" x14ac:dyDescent="0.25">
      <c r="B84" s="8">
        <v>83</v>
      </c>
      <c r="C84" s="4" t="s">
        <v>310</v>
      </c>
      <c r="D84" s="4" t="s">
        <v>311</v>
      </c>
    </row>
    <row r="85" spans="2:4" x14ac:dyDescent="0.25">
      <c r="B85" s="8">
        <v>84</v>
      </c>
      <c r="C85" s="4" t="s">
        <v>312</v>
      </c>
      <c r="D85" s="4" t="s">
        <v>313</v>
      </c>
    </row>
    <row r="86" spans="2:4" x14ac:dyDescent="0.25">
      <c r="B86" s="8">
        <v>85</v>
      </c>
      <c r="C86" s="4" t="s">
        <v>314</v>
      </c>
      <c r="D86" s="4" t="s">
        <v>315</v>
      </c>
    </row>
    <row r="87" spans="2:4" x14ac:dyDescent="0.25">
      <c r="B87" s="8">
        <v>86</v>
      </c>
      <c r="C87" s="4" t="s">
        <v>316</v>
      </c>
      <c r="D87" s="4" t="s">
        <v>317</v>
      </c>
    </row>
    <row r="88" spans="2:4" x14ac:dyDescent="0.25">
      <c r="B88" s="8">
        <v>87</v>
      </c>
      <c r="C88" s="4" t="s">
        <v>318</v>
      </c>
      <c r="D88" s="4" t="s">
        <v>319</v>
      </c>
    </row>
    <row r="89" spans="2:4" x14ac:dyDescent="0.25">
      <c r="B89" s="8">
        <v>88</v>
      </c>
      <c r="C89" s="4" t="s">
        <v>320</v>
      </c>
      <c r="D89" s="4" t="s">
        <v>321</v>
      </c>
    </row>
    <row r="90" spans="2:4" x14ac:dyDescent="0.25">
      <c r="B90" s="8">
        <v>89</v>
      </c>
      <c r="C90" s="4" t="s">
        <v>322</v>
      </c>
      <c r="D90" s="4" t="s">
        <v>323</v>
      </c>
    </row>
    <row r="91" spans="2:4" x14ac:dyDescent="0.25">
      <c r="B91" s="8">
        <v>90</v>
      </c>
      <c r="C91" s="4" t="s">
        <v>324</v>
      </c>
      <c r="D91" s="4" t="s">
        <v>325</v>
      </c>
    </row>
    <row r="92" spans="2:4" x14ac:dyDescent="0.25">
      <c r="B92" s="8">
        <v>91</v>
      </c>
      <c r="C92" s="4" t="s">
        <v>326</v>
      </c>
      <c r="D92" s="4" t="s">
        <v>327</v>
      </c>
    </row>
    <row r="93" spans="2:4" x14ac:dyDescent="0.25">
      <c r="B93" s="8">
        <v>92</v>
      </c>
      <c r="C93" s="4" t="s">
        <v>328</v>
      </c>
      <c r="D93" s="4" t="s">
        <v>329</v>
      </c>
    </row>
    <row r="94" spans="2:4" x14ac:dyDescent="0.25">
      <c r="B94" s="8">
        <v>93</v>
      </c>
      <c r="C94" s="4" t="s">
        <v>330</v>
      </c>
      <c r="D94" s="4" t="s">
        <v>331</v>
      </c>
    </row>
    <row r="95" spans="2:4" x14ac:dyDescent="0.25">
      <c r="B95" s="8">
        <v>94</v>
      </c>
      <c r="C95" s="4" t="s">
        <v>332</v>
      </c>
      <c r="D95" s="4" t="s">
        <v>333</v>
      </c>
    </row>
    <row r="96" spans="2:4" x14ac:dyDescent="0.25">
      <c r="B96" s="8">
        <v>95</v>
      </c>
      <c r="C96" s="4" t="s">
        <v>334</v>
      </c>
      <c r="D96" s="4" t="s">
        <v>335</v>
      </c>
    </row>
    <row r="97" spans="2:4" x14ac:dyDescent="0.25">
      <c r="B97" s="8">
        <v>96</v>
      </c>
      <c r="C97" s="4" t="s">
        <v>336</v>
      </c>
      <c r="D97" s="4" t="s">
        <v>337</v>
      </c>
    </row>
    <row r="98" spans="2:4" x14ac:dyDescent="0.25">
      <c r="B98" s="8">
        <v>97</v>
      </c>
      <c r="C98" s="4" t="s">
        <v>223</v>
      </c>
      <c r="D98" s="4" t="s">
        <v>338</v>
      </c>
    </row>
    <row r="99" spans="2:4" x14ac:dyDescent="0.25">
      <c r="B99" s="8">
        <v>98</v>
      </c>
      <c r="C99" s="4" t="s">
        <v>212</v>
      </c>
      <c r="D99" s="4" t="s">
        <v>339</v>
      </c>
    </row>
    <row r="100" spans="2:4" x14ac:dyDescent="0.25">
      <c r="B100" s="8">
        <v>99</v>
      </c>
      <c r="C100" s="4" t="s">
        <v>340</v>
      </c>
      <c r="D100" s="4" t="s">
        <v>341</v>
      </c>
    </row>
    <row r="101" spans="2:4" x14ac:dyDescent="0.25">
      <c r="B101" s="8">
        <v>100</v>
      </c>
      <c r="C101" s="4" t="s">
        <v>342</v>
      </c>
      <c r="D101" s="4" t="s">
        <v>343</v>
      </c>
    </row>
    <row r="102" spans="2:4" x14ac:dyDescent="0.25">
      <c r="B102" s="8">
        <v>101</v>
      </c>
      <c r="C102" s="4" t="s">
        <v>344</v>
      </c>
      <c r="D102" s="4" t="s">
        <v>345</v>
      </c>
    </row>
    <row r="103" spans="2:4" x14ac:dyDescent="0.25">
      <c r="B103" s="8">
        <v>102</v>
      </c>
      <c r="C103" s="4" t="s">
        <v>346</v>
      </c>
      <c r="D103" s="4" t="s">
        <v>347</v>
      </c>
    </row>
    <row r="104" spans="2:4" x14ac:dyDescent="0.25">
      <c r="B104" s="8">
        <v>103</v>
      </c>
      <c r="C104" s="4" t="s">
        <v>348</v>
      </c>
      <c r="D104" s="4" t="s">
        <v>349</v>
      </c>
    </row>
    <row r="105" spans="2:4" x14ac:dyDescent="0.25">
      <c r="B105" s="8">
        <v>104</v>
      </c>
      <c r="C105" s="4" t="s">
        <v>350</v>
      </c>
      <c r="D105" s="4" t="s">
        <v>351</v>
      </c>
    </row>
    <row r="106" spans="2:4" x14ac:dyDescent="0.25">
      <c r="B106" s="8">
        <v>105</v>
      </c>
      <c r="C106" s="4" t="s">
        <v>328</v>
      </c>
      <c r="D106" s="4" t="s">
        <v>329</v>
      </c>
    </row>
    <row r="107" spans="2:4" x14ac:dyDescent="0.25">
      <c r="B107" s="8">
        <v>106</v>
      </c>
      <c r="C107" s="4" t="s">
        <v>352</v>
      </c>
      <c r="D107" s="4" t="s">
        <v>353</v>
      </c>
    </row>
    <row r="108" spans="2:4" x14ac:dyDescent="0.25">
      <c r="B108" s="8">
        <v>107</v>
      </c>
      <c r="C108" s="4" t="s">
        <v>354</v>
      </c>
      <c r="D108" s="4" t="s">
        <v>355</v>
      </c>
    </row>
    <row r="131" spans="2:4" x14ac:dyDescent="0.25">
      <c r="B131" s="8">
        <v>130</v>
      </c>
      <c r="C131" s="4" t="s">
        <v>356</v>
      </c>
      <c r="D131" s="4" t="s">
        <v>357</v>
      </c>
    </row>
    <row r="132" spans="2:4" x14ac:dyDescent="0.25">
      <c r="B132" s="8">
        <v>131</v>
      </c>
      <c r="C132" s="4" t="s">
        <v>358</v>
      </c>
      <c r="D132" s="4" t="s">
        <v>359</v>
      </c>
    </row>
    <row r="137" spans="2:4" x14ac:dyDescent="0.25">
      <c r="B137" s="8">
        <v>136</v>
      </c>
      <c r="C137" s="4" t="s">
        <v>360</v>
      </c>
      <c r="D137" s="4" t="s">
        <v>361</v>
      </c>
    </row>
    <row r="138" spans="2:4" x14ac:dyDescent="0.25">
      <c r="B138" s="8">
        <v>137</v>
      </c>
      <c r="C138" s="4" t="s">
        <v>362</v>
      </c>
      <c r="D138" s="4" t="s">
        <v>363</v>
      </c>
    </row>
    <row r="139" spans="2:4" x14ac:dyDescent="0.25">
      <c r="B139" s="8">
        <v>138</v>
      </c>
      <c r="C139" s="4" t="s">
        <v>364</v>
      </c>
      <c r="D139" s="4" t="s">
        <v>365</v>
      </c>
    </row>
    <row r="140" spans="2:4" x14ac:dyDescent="0.25">
      <c r="B140" s="8">
        <v>139</v>
      </c>
      <c r="C140" s="4" t="s">
        <v>366</v>
      </c>
      <c r="D140" s="4" t="s">
        <v>367</v>
      </c>
    </row>
    <row r="141" spans="2:4" x14ac:dyDescent="0.25">
      <c r="B141" s="8">
        <v>140</v>
      </c>
      <c r="C141" s="4" t="s">
        <v>368</v>
      </c>
      <c r="D141" s="4" t="s">
        <v>369</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ayfa3"/>
  <dimension ref="C2:C15"/>
  <sheetViews>
    <sheetView showGridLines="0" showRowColHeaders="0" workbookViewId="0">
      <selection activeCell="C18" sqref="C18"/>
    </sheetView>
  </sheetViews>
  <sheetFormatPr defaultRowHeight="12.75" x14ac:dyDescent="0.2"/>
  <cols>
    <col min="1" max="1" width="3" style="1" customWidth="1"/>
    <col min="2" max="2" width="1.5703125" style="1" customWidth="1"/>
    <col min="3" max="3" width="64" style="1" customWidth="1"/>
    <col min="4" max="4" width="2" style="1" customWidth="1"/>
    <col min="5" max="16384" width="9.140625" style="1"/>
  </cols>
  <sheetData>
    <row r="2" spans="3:3" ht="9" customHeight="1" x14ac:dyDescent="0.2"/>
    <row r="3" spans="3:3" ht="33.75" x14ac:dyDescent="0.5">
      <c r="C3" s="23" t="s">
        <v>442</v>
      </c>
    </row>
    <row r="4" spans="3:3" ht="15.75" x14ac:dyDescent="0.2">
      <c r="C4" s="24" t="s">
        <v>439</v>
      </c>
    </row>
    <row r="5" spans="3:3" ht="15.75" x14ac:dyDescent="0.2">
      <c r="C5" s="25"/>
    </row>
    <row r="6" spans="3:3" ht="15" x14ac:dyDescent="0.2">
      <c r="C6" s="26">
        <v>46323</v>
      </c>
    </row>
    <row r="7" spans="3:3" ht="15" x14ac:dyDescent="0.2">
      <c r="C7" s="27" t="s">
        <v>66</v>
      </c>
    </row>
    <row r="8" spans="3:3" ht="15" x14ac:dyDescent="0.2">
      <c r="C8" s="28" t="s">
        <v>67</v>
      </c>
    </row>
    <row r="9" spans="3:3" ht="15" x14ac:dyDescent="0.2">
      <c r="C9" s="28" t="s">
        <v>440</v>
      </c>
    </row>
    <row r="10" spans="3:3" ht="15" x14ac:dyDescent="0.2">
      <c r="C10" s="28" t="s">
        <v>441</v>
      </c>
    </row>
    <row r="11" spans="3:3" ht="60" x14ac:dyDescent="0.2">
      <c r="C11" s="29" t="s">
        <v>449</v>
      </c>
    </row>
    <row r="12" spans="3:3" ht="21.75" customHeight="1" x14ac:dyDescent="0.2">
      <c r="C12" s="30" t="s">
        <v>68</v>
      </c>
    </row>
    <row r="13" spans="3:3" ht="60" customHeight="1" x14ac:dyDescent="0.2">
      <c r="C13" s="29" t="s">
        <v>444</v>
      </c>
    </row>
    <row r="14" spans="3:3" ht="21.75" customHeight="1" x14ac:dyDescent="0.2">
      <c r="C14" s="31" t="s">
        <v>69</v>
      </c>
    </row>
    <row r="15" spans="3:3" ht="29.25" customHeight="1" x14ac:dyDescent="0.2">
      <c r="C15" s="28" t="s">
        <v>443</v>
      </c>
    </row>
  </sheetData>
  <hyperlinks>
    <hyperlink ref="C8" r:id="rId1" xr:uid="{00000000-0004-0000-0400-000000000000}"/>
    <hyperlink ref="C9" r:id="rId2" xr:uid="{00000000-0004-0000-0400-000001000000}"/>
    <hyperlink ref="C10" r:id="rId3" xr:uid="{00000000-0004-0000-0400-000003000000}"/>
    <hyperlink ref="C15" r:id="rId4" xr:uid="{00000000-0004-0000-0400-000002000000}"/>
  </hyperlinks>
  <pageMargins left="0.7" right="0.7" top="0.75" bottom="0.75" header="0.3" footer="0.3"/>
  <pageSetup paperSize="9" orientation="portrait" verticalDpi="0"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C241E-F37F-4458-9B46-720570FB5AB2}">
  <sheetPr codeName="Sayfa6"/>
  <dimension ref="A1:E601"/>
  <sheetViews>
    <sheetView workbookViewId="0"/>
  </sheetViews>
  <sheetFormatPr defaultRowHeight="12.75" x14ac:dyDescent="0.2"/>
  <cols>
    <col min="1" max="1" width="10" bestFit="1" customWidth="1"/>
    <col min="2" max="2" width="30.5703125" bestFit="1" customWidth="1"/>
    <col min="3" max="3" width="5.5703125" bestFit="1" customWidth="1"/>
    <col min="4" max="4" width="39.85546875" bestFit="1" customWidth="1"/>
    <col min="5" max="5" width="22.42578125" bestFit="1" customWidth="1"/>
  </cols>
  <sheetData>
    <row r="1" spans="1:5" s="22" customFormat="1" x14ac:dyDescent="0.2">
      <c r="A1" s="21"/>
      <c r="B1" s="21"/>
      <c r="C1" s="21"/>
      <c r="D1" s="21"/>
      <c r="E1" s="21"/>
    </row>
    <row r="2" spans="1:5" x14ac:dyDescent="0.2">
      <c r="A2" s="19"/>
      <c r="B2" s="19"/>
      <c r="C2" s="19"/>
      <c r="D2" s="19"/>
      <c r="E2" s="19"/>
    </row>
    <row r="3" spans="1:5" x14ac:dyDescent="0.2">
      <c r="A3" s="19"/>
      <c r="B3" s="19"/>
      <c r="C3" s="19"/>
      <c r="D3" s="19"/>
      <c r="E3" s="19"/>
    </row>
    <row r="4" spans="1:5" x14ac:dyDescent="0.2">
      <c r="A4" s="19"/>
      <c r="B4" s="19"/>
      <c r="C4" s="19"/>
      <c r="D4" s="19"/>
      <c r="E4" s="19"/>
    </row>
    <row r="5" spans="1:5" x14ac:dyDescent="0.2">
      <c r="A5" s="19"/>
      <c r="B5" s="19"/>
      <c r="C5" s="19"/>
      <c r="D5" s="19"/>
      <c r="E5" s="19"/>
    </row>
    <row r="6" spans="1:5" x14ac:dyDescent="0.2">
      <c r="A6" s="19"/>
      <c r="B6" s="19"/>
      <c r="C6" s="19"/>
      <c r="D6" s="19"/>
      <c r="E6" s="19"/>
    </row>
    <row r="7" spans="1:5" x14ac:dyDescent="0.2">
      <c r="A7" s="19"/>
      <c r="B7" s="19"/>
      <c r="C7" s="19"/>
      <c r="D7" s="19"/>
      <c r="E7" s="19"/>
    </row>
    <row r="8" spans="1:5" x14ac:dyDescent="0.2">
      <c r="A8" s="19"/>
      <c r="B8" s="19"/>
      <c r="C8" s="19"/>
      <c r="D8" s="19"/>
      <c r="E8" s="19"/>
    </row>
    <row r="9" spans="1:5" x14ac:dyDescent="0.2">
      <c r="A9" s="19"/>
      <c r="B9" s="19"/>
      <c r="C9" s="19"/>
      <c r="D9" s="19"/>
      <c r="E9" s="19"/>
    </row>
    <row r="10" spans="1:5" x14ac:dyDescent="0.2">
      <c r="A10" s="19"/>
      <c r="B10" s="19"/>
      <c r="C10" s="19"/>
      <c r="D10" s="19"/>
      <c r="E10" s="19"/>
    </row>
    <row r="11" spans="1:5" x14ac:dyDescent="0.2">
      <c r="A11" s="19"/>
      <c r="B11" s="19"/>
      <c r="C11" s="19"/>
      <c r="D11" s="19"/>
      <c r="E11" s="19"/>
    </row>
    <row r="12" spans="1:5" x14ac:dyDescent="0.2">
      <c r="A12" s="19"/>
      <c r="B12" s="19"/>
      <c r="C12" s="19"/>
      <c r="D12" s="19"/>
      <c r="E12" s="19"/>
    </row>
    <row r="13" spans="1:5" x14ac:dyDescent="0.2">
      <c r="A13" s="19"/>
      <c r="B13" s="19"/>
      <c r="C13" s="19"/>
      <c r="D13" s="19"/>
      <c r="E13" s="19"/>
    </row>
    <row r="14" spans="1:5" x14ac:dyDescent="0.2">
      <c r="A14" s="19"/>
      <c r="B14" s="19"/>
      <c r="C14" s="19"/>
      <c r="D14" s="19"/>
      <c r="E14" s="19"/>
    </row>
    <row r="15" spans="1:5" x14ac:dyDescent="0.2">
      <c r="A15" s="19"/>
      <c r="B15" s="19"/>
      <c r="C15" s="19"/>
      <c r="D15" s="19"/>
      <c r="E15" s="19"/>
    </row>
    <row r="16" spans="1:5" x14ac:dyDescent="0.2">
      <c r="A16" s="19"/>
      <c r="B16" s="19"/>
      <c r="C16" s="19"/>
      <c r="D16" s="19"/>
      <c r="E16" s="19"/>
    </row>
    <row r="17" spans="1:5" x14ac:dyDescent="0.2">
      <c r="A17" s="19"/>
      <c r="B17" s="19"/>
      <c r="C17" s="19"/>
      <c r="D17" s="19"/>
      <c r="E17" s="19"/>
    </row>
    <row r="18" spans="1:5" x14ac:dyDescent="0.2">
      <c r="A18" s="19"/>
      <c r="B18" s="19"/>
      <c r="C18" s="19"/>
      <c r="D18" s="19"/>
      <c r="E18" s="19"/>
    </row>
    <row r="19" spans="1:5" x14ac:dyDescent="0.2">
      <c r="A19" s="19"/>
      <c r="B19" s="19"/>
      <c r="C19" s="19"/>
      <c r="D19" s="19"/>
      <c r="E19" s="19"/>
    </row>
    <row r="20" spans="1:5" x14ac:dyDescent="0.2">
      <c r="A20" s="19"/>
      <c r="B20" s="19"/>
      <c r="C20" s="19"/>
      <c r="D20" s="19"/>
      <c r="E20" s="19"/>
    </row>
    <row r="21" spans="1:5" x14ac:dyDescent="0.2">
      <c r="A21" s="19"/>
      <c r="B21" s="19"/>
      <c r="C21" s="19"/>
      <c r="D21" s="19"/>
      <c r="E21" s="19"/>
    </row>
    <row r="22" spans="1:5" x14ac:dyDescent="0.2">
      <c r="A22" s="19"/>
      <c r="B22" s="19"/>
      <c r="C22" s="19"/>
      <c r="D22" s="19"/>
      <c r="E22" s="19"/>
    </row>
    <row r="23" spans="1:5" x14ac:dyDescent="0.2">
      <c r="A23" s="19"/>
      <c r="B23" s="19"/>
      <c r="C23" s="19"/>
      <c r="D23" s="19"/>
      <c r="E23" s="19"/>
    </row>
    <row r="24" spans="1:5" x14ac:dyDescent="0.2">
      <c r="A24" s="19"/>
      <c r="B24" s="19"/>
      <c r="C24" s="19"/>
      <c r="D24" s="19"/>
      <c r="E24" s="19"/>
    </row>
    <row r="25" spans="1:5" x14ac:dyDescent="0.2">
      <c r="A25" s="19"/>
      <c r="B25" s="19"/>
      <c r="C25" s="19"/>
      <c r="D25" s="19"/>
      <c r="E25" s="19"/>
    </row>
    <row r="26" spans="1:5" x14ac:dyDescent="0.2">
      <c r="A26" s="19"/>
      <c r="B26" s="19"/>
      <c r="C26" s="19"/>
      <c r="D26" s="19"/>
      <c r="E26" s="19"/>
    </row>
    <row r="27" spans="1:5" x14ac:dyDescent="0.2">
      <c r="A27" s="19"/>
      <c r="B27" s="19"/>
      <c r="C27" s="19"/>
      <c r="D27" s="19"/>
      <c r="E27" s="19"/>
    </row>
    <row r="28" spans="1:5" x14ac:dyDescent="0.2">
      <c r="A28" s="19"/>
      <c r="B28" s="19"/>
      <c r="C28" s="19"/>
      <c r="D28" s="19"/>
      <c r="E28" s="19"/>
    </row>
    <row r="29" spans="1:5" x14ac:dyDescent="0.2">
      <c r="A29" s="19"/>
      <c r="B29" s="19"/>
      <c r="C29" s="19"/>
      <c r="D29" s="19"/>
      <c r="E29" s="19"/>
    </row>
    <row r="30" spans="1:5" x14ac:dyDescent="0.2">
      <c r="A30" s="19"/>
      <c r="B30" s="19"/>
      <c r="C30" s="19"/>
      <c r="D30" s="19"/>
      <c r="E30" s="19"/>
    </row>
    <row r="31" spans="1:5" x14ac:dyDescent="0.2">
      <c r="A31" s="19"/>
      <c r="B31" s="19"/>
      <c r="C31" s="19"/>
      <c r="D31" s="19"/>
      <c r="E31" s="19"/>
    </row>
    <row r="32" spans="1:5" x14ac:dyDescent="0.2">
      <c r="A32" s="19"/>
      <c r="B32" s="19"/>
      <c r="C32" s="19"/>
      <c r="D32" s="19"/>
      <c r="E32" s="19"/>
    </row>
    <row r="33" spans="1:5" x14ac:dyDescent="0.2">
      <c r="A33" s="19"/>
      <c r="B33" s="19"/>
      <c r="C33" s="19"/>
      <c r="D33" s="19"/>
      <c r="E33" s="19"/>
    </row>
    <row r="34" spans="1:5" x14ac:dyDescent="0.2">
      <c r="A34" s="19"/>
      <c r="B34" s="19"/>
      <c r="C34" s="19"/>
      <c r="D34" s="19"/>
      <c r="E34" s="19"/>
    </row>
    <row r="35" spans="1:5" x14ac:dyDescent="0.2">
      <c r="A35" s="19"/>
      <c r="B35" s="19"/>
      <c r="C35" s="19"/>
      <c r="D35" s="19"/>
      <c r="E35" s="19"/>
    </row>
    <row r="36" spans="1:5" x14ac:dyDescent="0.2">
      <c r="A36" s="19"/>
      <c r="B36" s="19"/>
      <c r="C36" s="19"/>
      <c r="D36" s="19"/>
      <c r="E36" s="19"/>
    </row>
    <row r="37" spans="1:5" x14ac:dyDescent="0.2">
      <c r="A37" s="19"/>
      <c r="B37" s="19"/>
      <c r="C37" s="19"/>
      <c r="D37" s="19"/>
      <c r="E37" s="19"/>
    </row>
    <row r="38" spans="1:5" x14ac:dyDescent="0.2">
      <c r="A38" s="19"/>
      <c r="B38" s="19"/>
      <c r="C38" s="19"/>
      <c r="D38" s="19"/>
      <c r="E38" s="19"/>
    </row>
    <row r="39" spans="1:5" x14ac:dyDescent="0.2">
      <c r="A39" s="19"/>
      <c r="B39" s="19"/>
      <c r="C39" s="19"/>
      <c r="D39" s="19"/>
      <c r="E39" s="19"/>
    </row>
    <row r="40" spans="1:5" x14ac:dyDescent="0.2">
      <c r="A40" s="19"/>
      <c r="B40" s="19"/>
      <c r="C40" s="19"/>
      <c r="D40" s="19"/>
      <c r="E40" s="19"/>
    </row>
    <row r="41" spans="1:5" x14ac:dyDescent="0.2">
      <c r="A41" s="19"/>
      <c r="B41" s="19"/>
      <c r="C41" s="19"/>
      <c r="D41" s="19"/>
      <c r="E41" s="19"/>
    </row>
    <row r="42" spans="1:5" x14ac:dyDescent="0.2">
      <c r="A42" s="19"/>
      <c r="B42" s="19"/>
      <c r="C42" s="19"/>
      <c r="D42" s="19"/>
      <c r="E42" s="19"/>
    </row>
    <row r="43" spans="1:5" x14ac:dyDescent="0.2">
      <c r="A43" s="19"/>
      <c r="B43" s="19"/>
      <c r="C43" s="19"/>
      <c r="D43" s="19"/>
      <c r="E43" s="19"/>
    </row>
    <row r="44" spans="1:5" x14ac:dyDescent="0.2">
      <c r="A44" s="19"/>
      <c r="B44" s="19"/>
      <c r="C44" s="19"/>
      <c r="D44" s="19"/>
      <c r="E44" s="19"/>
    </row>
    <row r="45" spans="1:5" x14ac:dyDescent="0.2">
      <c r="A45" s="19"/>
      <c r="B45" s="19"/>
      <c r="C45" s="19"/>
      <c r="D45" s="19"/>
      <c r="E45" s="19"/>
    </row>
    <row r="46" spans="1:5" x14ac:dyDescent="0.2">
      <c r="A46" s="19"/>
      <c r="B46" s="19"/>
      <c r="C46" s="19"/>
      <c r="D46" s="19"/>
      <c r="E46" s="19"/>
    </row>
    <row r="47" spans="1:5" x14ac:dyDescent="0.2">
      <c r="A47" s="19"/>
      <c r="B47" s="19"/>
      <c r="C47" s="19"/>
      <c r="D47" s="19"/>
      <c r="E47" s="19"/>
    </row>
    <row r="48" spans="1:5" x14ac:dyDescent="0.2">
      <c r="A48" s="19"/>
      <c r="B48" s="19"/>
      <c r="C48" s="19"/>
      <c r="D48" s="19"/>
      <c r="E48" s="19"/>
    </row>
    <row r="49" spans="1:5" x14ac:dyDescent="0.2">
      <c r="A49" s="19"/>
      <c r="B49" s="19"/>
      <c r="C49" s="19"/>
      <c r="D49" s="19"/>
      <c r="E49" s="19"/>
    </row>
    <row r="50" spans="1:5" x14ac:dyDescent="0.2">
      <c r="A50" s="19"/>
      <c r="B50" s="19"/>
      <c r="C50" s="19"/>
      <c r="D50" s="19"/>
      <c r="E50" s="19"/>
    </row>
    <row r="51" spans="1:5" x14ac:dyDescent="0.2">
      <c r="A51" s="19"/>
      <c r="B51" s="19"/>
      <c r="C51" s="19"/>
      <c r="D51" s="19"/>
      <c r="E51" s="19"/>
    </row>
    <row r="52" spans="1:5" x14ac:dyDescent="0.2">
      <c r="A52" s="19"/>
      <c r="B52" s="19"/>
      <c r="C52" s="19"/>
      <c r="D52" s="19"/>
      <c r="E52" s="19"/>
    </row>
    <row r="53" spans="1:5" x14ac:dyDescent="0.2">
      <c r="A53" s="19"/>
      <c r="B53" s="19"/>
      <c r="C53" s="19"/>
      <c r="D53" s="19"/>
      <c r="E53" s="19"/>
    </row>
    <row r="54" spans="1:5" x14ac:dyDescent="0.2">
      <c r="A54" s="19"/>
      <c r="B54" s="19"/>
      <c r="C54" s="19"/>
      <c r="D54" s="19"/>
      <c r="E54" s="19"/>
    </row>
    <row r="55" spans="1:5" x14ac:dyDescent="0.2">
      <c r="A55" s="19"/>
      <c r="B55" s="19"/>
      <c r="C55" s="19"/>
      <c r="D55" s="19"/>
      <c r="E55" s="19"/>
    </row>
    <row r="56" spans="1:5" x14ac:dyDescent="0.2">
      <c r="A56" s="19"/>
      <c r="B56" s="19"/>
      <c r="C56" s="19"/>
      <c r="D56" s="19"/>
      <c r="E56" s="19"/>
    </row>
    <row r="57" spans="1:5" x14ac:dyDescent="0.2">
      <c r="A57" s="19"/>
      <c r="B57" s="19"/>
      <c r="C57" s="19"/>
      <c r="D57" s="19"/>
      <c r="E57" s="19"/>
    </row>
    <row r="58" spans="1:5" x14ac:dyDescent="0.2">
      <c r="A58" s="19"/>
      <c r="B58" s="19"/>
      <c r="C58" s="19"/>
      <c r="D58" s="19"/>
      <c r="E58" s="19"/>
    </row>
    <row r="59" spans="1:5" x14ac:dyDescent="0.2">
      <c r="A59" s="19"/>
      <c r="B59" s="19"/>
      <c r="C59" s="19"/>
      <c r="D59" s="19"/>
      <c r="E59" s="19"/>
    </row>
    <row r="60" spans="1:5" x14ac:dyDescent="0.2">
      <c r="A60" s="19"/>
      <c r="B60" s="19"/>
      <c r="C60" s="19"/>
      <c r="D60" s="19"/>
      <c r="E60" s="19"/>
    </row>
    <row r="61" spans="1:5" x14ac:dyDescent="0.2">
      <c r="A61" s="19"/>
      <c r="B61" s="19"/>
      <c r="C61" s="19"/>
      <c r="D61" s="19"/>
      <c r="E61" s="19"/>
    </row>
    <row r="62" spans="1:5" x14ac:dyDescent="0.2">
      <c r="A62" s="19"/>
      <c r="B62" s="19"/>
      <c r="C62" s="19"/>
      <c r="D62" s="19"/>
      <c r="E62" s="19"/>
    </row>
    <row r="63" spans="1:5" x14ac:dyDescent="0.2">
      <c r="A63" s="19"/>
      <c r="B63" s="19"/>
      <c r="C63" s="19"/>
      <c r="D63" s="19"/>
      <c r="E63" s="19"/>
    </row>
    <row r="64" spans="1:5" x14ac:dyDescent="0.2">
      <c r="A64" s="19"/>
      <c r="B64" s="19"/>
      <c r="C64" s="19"/>
      <c r="D64" s="19"/>
      <c r="E64" s="19"/>
    </row>
    <row r="65" spans="1:5" x14ac:dyDescent="0.2">
      <c r="A65" s="19"/>
      <c r="B65" s="19"/>
      <c r="C65" s="19"/>
      <c r="D65" s="19"/>
      <c r="E65" s="19"/>
    </row>
    <row r="66" spans="1:5" x14ac:dyDescent="0.2">
      <c r="A66" s="19"/>
      <c r="B66" s="19"/>
      <c r="C66" s="19"/>
      <c r="D66" s="19"/>
      <c r="E66" s="19"/>
    </row>
    <row r="67" spans="1:5" x14ac:dyDescent="0.2">
      <c r="A67" s="19"/>
      <c r="B67" s="19"/>
      <c r="C67" s="19"/>
      <c r="D67" s="19"/>
      <c r="E67" s="19"/>
    </row>
    <row r="68" spans="1:5" x14ac:dyDescent="0.2">
      <c r="A68" s="19"/>
      <c r="B68" s="19"/>
      <c r="C68" s="19"/>
      <c r="D68" s="19"/>
      <c r="E68" s="19"/>
    </row>
    <row r="69" spans="1:5" x14ac:dyDescent="0.2">
      <c r="A69" s="19"/>
      <c r="B69" s="19"/>
      <c r="C69" s="19"/>
      <c r="D69" s="19"/>
      <c r="E69" s="19"/>
    </row>
    <row r="70" spans="1:5" x14ac:dyDescent="0.2">
      <c r="A70" s="19"/>
      <c r="B70" s="19"/>
      <c r="C70" s="19"/>
      <c r="D70" s="19"/>
      <c r="E70" s="19"/>
    </row>
    <row r="71" spans="1:5" x14ac:dyDescent="0.2">
      <c r="A71" s="19"/>
      <c r="B71" s="19"/>
      <c r="C71" s="19"/>
      <c r="D71" s="19"/>
      <c r="E71" s="19"/>
    </row>
    <row r="72" spans="1:5" x14ac:dyDescent="0.2">
      <c r="A72" s="19"/>
      <c r="B72" s="19"/>
      <c r="C72" s="19"/>
      <c r="D72" s="19"/>
      <c r="E72" s="19"/>
    </row>
    <row r="73" spans="1:5" x14ac:dyDescent="0.2">
      <c r="A73" s="19"/>
      <c r="B73" s="19"/>
      <c r="C73" s="19"/>
      <c r="D73" s="19"/>
      <c r="E73" s="19"/>
    </row>
    <row r="74" spans="1:5" x14ac:dyDescent="0.2">
      <c r="A74" s="19"/>
      <c r="B74" s="19"/>
      <c r="C74" s="19"/>
      <c r="D74" s="19"/>
      <c r="E74" s="19"/>
    </row>
    <row r="75" spans="1:5" x14ac:dyDescent="0.2">
      <c r="A75" s="19"/>
      <c r="B75" s="19"/>
      <c r="C75" s="19"/>
      <c r="D75" s="19"/>
      <c r="E75" s="19"/>
    </row>
    <row r="76" spans="1:5" x14ac:dyDescent="0.2">
      <c r="A76" s="19"/>
      <c r="B76" s="19"/>
      <c r="C76" s="19"/>
      <c r="D76" s="19"/>
      <c r="E76" s="19"/>
    </row>
    <row r="77" spans="1:5" x14ac:dyDescent="0.2">
      <c r="A77" s="19"/>
      <c r="B77" s="19"/>
      <c r="C77" s="19"/>
      <c r="D77" s="19"/>
      <c r="E77" s="19"/>
    </row>
    <row r="78" spans="1:5" x14ac:dyDescent="0.2">
      <c r="A78" s="19"/>
      <c r="B78" s="19"/>
      <c r="C78" s="19"/>
      <c r="D78" s="19"/>
      <c r="E78" s="19"/>
    </row>
    <row r="79" spans="1:5" x14ac:dyDescent="0.2">
      <c r="A79" s="19"/>
      <c r="B79" s="19"/>
      <c r="C79" s="19"/>
      <c r="D79" s="19"/>
      <c r="E79" s="19"/>
    </row>
    <row r="80" spans="1:5" x14ac:dyDescent="0.2">
      <c r="A80" s="19"/>
      <c r="B80" s="19"/>
      <c r="C80" s="19"/>
      <c r="D80" s="19"/>
      <c r="E80" s="19"/>
    </row>
    <row r="81" spans="1:5" x14ac:dyDescent="0.2">
      <c r="A81" s="19"/>
      <c r="B81" s="19"/>
      <c r="C81" s="19"/>
      <c r="D81" s="19"/>
      <c r="E81" s="19"/>
    </row>
    <row r="82" spans="1:5" x14ac:dyDescent="0.2">
      <c r="A82" s="19"/>
      <c r="B82" s="19"/>
      <c r="C82" s="19"/>
      <c r="D82" s="19"/>
      <c r="E82" s="19"/>
    </row>
    <row r="83" spans="1:5" x14ac:dyDescent="0.2">
      <c r="A83" s="19"/>
      <c r="B83" s="19"/>
      <c r="C83" s="19"/>
      <c r="D83" s="19"/>
      <c r="E83" s="19"/>
    </row>
    <row r="84" spans="1:5" x14ac:dyDescent="0.2">
      <c r="A84" s="19"/>
      <c r="B84" s="19"/>
      <c r="C84" s="19"/>
      <c r="D84" s="19"/>
      <c r="E84" s="19"/>
    </row>
    <row r="85" spans="1:5" x14ac:dyDescent="0.2">
      <c r="A85" s="19"/>
      <c r="B85" s="19"/>
      <c r="C85" s="19"/>
      <c r="D85" s="19"/>
      <c r="E85" s="19"/>
    </row>
    <row r="86" spans="1:5" x14ac:dyDescent="0.2">
      <c r="A86" s="19"/>
      <c r="B86" s="19"/>
      <c r="C86" s="19"/>
      <c r="D86" s="19"/>
      <c r="E86" s="19"/>
    </row>
    <row r="87" spans="1:5" x14ac:dyDescent="0.2">
      <c r="A87" s="19"/>
      <c r="B87" s="19"/>
      <c r="C87" s="19"/>
      <c r="D87" s="19"/>
      <c r="E87" s="19"/>
    </row>
    <row r="88" spans="1:5" x14ac:dyDescent="0.2">
      <c r="A88" s="19"/>
      <c r="B88" s="19"/>
      <c r="C88" s="19"/>
      <c r="D88" s="19"/>
      <c r="E88" s="19"/>
    </row>
    <row r="89" spans="1:5" x14ac:dyDescent="0.2">
      <c r="A89" s="19"/>
      <c r="B89" s="19"/>
      <c r="C89" s="19"/>
      <c r="D89" s="19"/>
      <c r="E89" s="19"/>
    </row>
    <row r="90" spans="1:5" x14ac:dyDescent="0.2">
      <c r="A90" s="19"/>
      <c r="B90" s="19"/>
      <c r="C90" s="19"/>
      <c r="D90" s="19"/>
      <c r="E90" s="19"/>
    </row>
    <row r="91" spans="1:5" x14ac:dyDescent="0.2">
      <c r="A91" s="19"/>
      <c r="B91" s="19"/>
      <c r="C91" s="19"/>
      <c r="D91" s="19"/>
      <c r="E91" s="19"/>
    </row>
    <row r="92" spans="1:5" x14ac:dyDescent="0.2">
      <c r="A92" s="19"/>
      <c r="B92" s="19"/>
      <c r="C92" s="19"/>
      <c r="D92" s="19"/>
      <c r="E92" s="19"/>
    </row>
    <row r="93" spans="1:5" x14ac:dyDescent="0.2">
      <c r="A93" s="19"/>
      <c r="B93" s="19"/>
      <c r="C93" s="19"/>
      <c r="D93" s="19"/>
      <c r="E93" s="19"/>
    </row>
    <row r="94" spans="1:5" x14ac:dyDescent="0.2">
      <c r="A94" s="19"/>
      <c r="B94" s="19"/>
      <c r="C94" s="19"/>
      <c r="D94" s="19"/>
      <c r="E94" s="19"/>
    </row>
    <row r="95" spans="1:5" x14ac:dyDescent="0.2">
      <c r="A95" s="19"/>
      <c r="B95" s="19"/>
      <c r="C95" s="19"/>
      <c r="D95" s="19"/>
      <c r="E95" s="19"/>
    </row>
    <row r="96" spans="1:5" x14ac:dyDescent="0.2">
      <c r="A96" s="19"/>
      <c r="B96" s="19"/>
      <c r="C96" s="19"/>
      <c r="D96" s="19"/>
      <c r="E96" s="19"/>
    </row>
    <row r="97" spans="1:5" x14ac:dyDescent="0.2">
      <c r="A97" s="19"/>
      <c r="B97" s="19"/>
      <c r="C97" s="19"/>
      <c r="D97" s="19"/>
      <c r="E97" s="19"/>
    </row>
    <row r="98" spans="1:5" x14ac:dyDescent="0.2">
      <c r="A98" s="19"/>
      <c r="B98" s="19"/>
      <c r="C98" s="19"/>
      <c r="D98" s="19"/>
      <c r="E98" s="19"/>
    </row>
    <row r="99" spans="1:5" x14ac:dyDescent="0.2">
      <c r="A99" s="19"/>
      <c r="B99" s="19"/>
      <c r="C99" s="19"/>
      <c r="D99" s="19"/>
      <c r="E99" s="19"/>
    </row>
    <row r="100" spans="1:5" x14ac:dyDescent="0.2">
      <c r="A100" s="19"/>
      <c r="B100" s="19"/>
      <c r="C100" s="19"/>
      <c r="D100" s="19"/>
      <c r="E100" s="19"/>
    </row>
    <row r="101" spans="1:5" x14ac:dyDescent="0.2">
      <c r="A101" s="19"/>
      <c r="B101" s="19"/>
      <c r="C101" s="19"/>
      <c r="D101" s="19"/>
      <c r="E101" s="19"/>
    </row>
    <row r="102" spans="1:5" x14ac:dyDescent="0.2">
      <c r="A102" s="19"/>
      <c r="B102" s="19"/>
      <c r="C102" s="19"/>
      <c r="D102" s="19"/>
      <c r="E102" s="19"/>
    </row>
    <row r="103" spans="1:5" x14ac:dyDescent="0.2">
      <c r="A103" s="19"/>
      <c r="B103" s="19"/>
      <c r="C103" s="19"/>
      <c r="D103" s="19"/>
      <c r="E103" s="19"/>
    </row>
    <row r="104" spans="1:5" x14ac:dyDescent="0.2">
      <c r="A104" s="19"/>
      <c r="B104" s="19"/>
      <c r="C104" s="19"/>
      <c r="D104" s="19"/>
      <c r="E104" s="19"/>
    </row>
    <row r="105" spans="1:5" x14ac:dyDescent="0.2">
      <c r="A105" s="19"/>
      <c r="B105" s="19"/>
      <c r="C105" s="19"/>
      <c r="D105" s="19"/>
      <c r="E105" s="19"/>
    </row>
    <row r="106" spans="1:5" x14ac:dyDescent="0.2">
      <c r="A106" s="19"/>
      <c r="B106" s="19"/>
      <c r="C106" s="19"/>
      <c r="D106" s="19"/>
      <c r="E106" s="19"/>
    </row>
    <row r="107" spans="1:5" x14ac:dyDescent="0.2">
      <c r="A107" s="19"/>
      <c r="B107" s="19"/>
      <c r="C107" s="19"/>
      <c r="D107" s="19"/>
      <c r="E107" s="19"/>
    </row>
    <row r="108" spans="1:5" x14ac:dyDescent="0.2">
      <c r="A108" s="19"/>
      <c r="B108" s="19"/>
      <c r="C108" s="19"/>
      <c r="D108" s="19"/>
      <c r="E108" s="19"/>
    </row>
    <row r="109" spans="1:5" x14ac:dyDescent="0.2">
      <c r="A109" s="19"/>
      <c r="B109" s="19"/>
      <c r="C109" s="19"/>
      <c r="D109" s="19"/>
      <c r="E109" s="19"/>
    </row>
    <row r="110" spans="1:5" x14ac:dyDescent="0.2">
      <c r="A110" s="19"/>
      <c r="B110" s="19"/>
      <c r="C110" s="19"/>
      <c r="D110" s="19"/>
      <c r="E110" s="19"/>
    </row>
    <row r="111" spans="1:5" x14ac:dyDescent="0.2">
      <c r="A111" s="19"/>
      <c r="B111" s="19"/>
      <c r="C111" s="19"/>
      <c r="D111" s="19"/>
      <c r="E111" s="19"/>
    </row>
    <row r="112" spans="1:5" x14ac:dyDescent="0.2">
      <c r="A112" s="19"/>
      <c r="B112" s="19"/>
      <c r="C112" s="19"/>
      <c r="D112" s="19"/>
      <c r="E112" s="19"/>
    </row>
    <row r="113" spans="1:5" x14ac:dyDescent="0.2">
      <c r="A113" s="19"/>
      <c r="B113" s="19"/>
      <c r="C113" s="19"/>
      <c r="D113" s="19"/>
      <c r="E113" s="19"/>
    </row>
    <row r="114" spans="1:5" x14ac:dyDescent="0.2">
      <c r="A114" s="19"/>
      <c r="B114" s="19"/>
      <c r="C114" s="19"/>
      <c r="D114" s="19"/>
      <c r="E114" s="19"/>
    </row>
    <row r="115" spans="1:5" x14ac:dyDescent="0.2">
      <c r="A115" s="19"/>
      <c r="B115" s="19"/>
      <c r="C115" s="19"/>
      <c r="D115" s="19"/>
      <c r="E115" s="19"/>
    </row>
    <row r="116" spans="1:5" x14ac:dyDescent="0.2">
      <c r="A116" s="19"/>
      <c r="B116" s="19"/>
      <c r="C116" s="19"/>
      <c r="D116" s="19"/>
      <c r="E116" s="19"/>
    </row>
    <row r="117" spans="1:5" x14ac:dyDescent="0.2">
      <c r="A117" s="19"/>
      <c r="B117" s="19"/>
      <c r="C117" s="19"/>
      <c r="D117" s="19"/>
      <c r="E117" s="19"/>
    </row>
    <row r="118" spans="1:5" x14ac:dyDescent="0.2">
      <c r="A118" s="19"/>
      <c r="B118" s="19"/>
      <c r="C118" s="19"/>
      <c r="D118" s="19"/>
      <c r="E118" s="19"/>
    </row>
    <row r="119" spans="1:5" x14ac:dyDescent="0.2">
      <c r="A119" s="19"/>
      <c r="B119" s="19"/>
      <c r="C119" s="19"/>
      <c r="D119" s="19"/>
      <c r="E119" s="19"/>
    </row>
    <row r="120" spans="1:5" x14ac:dyDescent="0.2">
      <c r="A120" s="19"/>
      <c r="B120" s="19"/>
      <c r="C120" s="19"/>
      <c r="D120" s="19"/>
      <c r="E120" s="19"/>
    </row>
    <row r="121" spans="1:5" x14ac:dyDescent="0.2">
      <c r="A121" s="19"/>
      <c r="B121" s="19"/>
      <c r="C121" s="19"/>
      <c r="D121" s="19"/>
      <c r="E121" s="19"/>
    </row>
    <row r="122" spans="1:5" x14ac:dyDescent="0.2">
      <c r="A122" s="19"/>
      <c r="B122" s="19"/>
      <c r="C122" s="19"/>
      <c r="D122" s="19"/>
      <c r="E122" s="19"/>
    </row>
    <row r="123" spans="1:5" x14ac:dyDescent="0.2">
      <c r="A123" s="19"/>
      <c r="B123" s="19"/>
      <c r="C123" s="19"/>
      <c r="D123" s="19"/>
      <c r="E123" s="19"/>
    </row>
    <row r="124" spans="1:5" x14ac:dyDescent="0.2">
      <c r="A124" s="19"/>
      <c r="B124" s="19"/>
      <c r="C124" s="19"/>
      <c r="D124" s="19"/>
      <c r="E124" s="19"/>
    </row>
    <row r="125" spans="1:5" x14ac:dyDescent="0.2">
      <c r="A125" s="19"/>
      <c r="B125" s="19"/>
      <c r="C125" s="19"/>
      <c r="D125" s="19"/>
      <c r="E125" s="19"/>
    </row>
    <row r="126" spans="1:5" x14ac:dyDescent="0.2">
      <c r="A126" s="19"/>
      <c r="B126" s="19"/>
      <c r="C126" s="19"/>
      <c r="D126" s="19"/>
      <c r="E126" s="19"/>
    </row>
    <row r="127" spans="1:5" x14ac:dyDescent="0.2">
      <c r="A127" s="19"/>
      <c r="B127" s="19"/>
      <c r="C127" s="19"/>
      <c r="D127" s="19"/>
      <c r="E127" s="19"/>
    </row>
    <row r="128" spans="1:5" x14ac:dyDescent="0.2">
      <c r="A128" s="19"/>
      <c r="B128" s="19"/>
      <c r="C128" s="19"/>
      <c r="D128" s="19"/>
      <c r="E128" s="19"/>
    </row>
    <row r="129" spans="1:5" x14ac:dyDescent="0.2">
      <c r="A129" s="19"/>
      <c r="B129" s="19"/>
      <c r="C129" s="19"/>
      <c r="D129" s="19"/>
      <c r="E129" s="19"/>
    </row>
    <row r="130" spans="1:5" x14ac:dyDescent="0.2">
      <c r="A130" s="19"/>
      <c r="B130" s="19"/>
      <c r="C130" s="19"/>
      <c r="D130" s="19"/>
      <c r="E130" s="19"/>
    </row>
    <row r="131" spans="1:5" x14ac:dyDescent="0.2">
      <c r="A131" s="19"/>
      <c r="B131" s="19"/>
      <c r="C131" s="19"/>
      <c r="D131" s="19"/>
      <c r="E131" s="19"/>
    </row>
    <row r="132" spans="1:5" x14ac:dyDescent="0.2">
      <c r="A132" s="19"/>
      <c r="B132" s="19"/>
      <c r="C132" s="19"/>
      <c r="D132" s="19"/>
      <c r="E132" s="19"/>
    </row>
    <row r="133" spans="1:5" x14ac:dyDescent="0.2">
      <c r="A133" s="19"/>
      <c r="B133" s="19"/>
      <c r="C133" s="19"/>
      <c r="D133" s="19"/>
      <c r="E133" s="19"/>
    </row>
    <row r="134" spans="1:5" x14ac:dyDescent="0.2">
      <c r="A134" s="19"/>
      <c r="B134" s="19"/>
      <c r="C134" s="19"/>
      <c r="D134" s="19"/>
      <c r="E134" s="19"/>
    </row>
    <row r="135" spans="1:5" x14ac:dyDescent="0.2">
      <c r="A135" s="19"/>
      <c r="B135" s="19"/>
      <c r="C135" s="19"/>
      <c r="D135" s="19"/>
      <c r="E135" s="19"/>
    </row>
    <row r="136" spans="1:5" x14ac:dyDescent="0.2">
      <c r="A136" s="19"/>
      <c r="B136" s="19"/>
      <c r="C136" s="19"/>
      <c r="D136" s="19"/>
      <c r="E136" s="19"/>
    </row>
    <row r="137" spans="1:5" x14ac:dyDescent="0.2">
      <c r="A137" s="19"/>
      <c r="B137" s="19"/>
      <c r="C137" s="19"/>
      <c r="D137" s="19"/>
      <c r="E137" s="19"/>
    </row>
    <row r="138" spans="1:5" x14ac:dyDescent="0.2">
      <c r="A138" s="19"/>
      <c r="B138" s="19"/>
      <c r="C138" s="19"/>
      <c r="D138" s="19"/>
      <c r="E138" s="19"/>
    </row>
    <row r="139" spans="1:5" x14ac:dyDescent="0.2">
      <c r="A139" s="19"/>
      <c r="B139" s="19"/>
      <c r="C139" s="19"/>
      <c r="D139" s="19"/>
      <c r="E139" s="19"/>
    </row>
    <row r="140" spans="1:5" x14ac:dyDescent="0.2">
      <c r="A140" s="19"/>
      <c r="B140" s="19"/>
      <c r="C140" s="19"/>
      <c r="D140" s="19"/>
      <c r="E140" s="19"/>
    </row>
    <row r="141" spans="1:5" x14ac:dyDescent="0.2">
      <c r="A141" s="19"/>
      <c r="B141" s="19"/>
      <c r="C141" s="19"/>
      <c r="D141" s="19"/>
      <c r="E141" s="19"/>
    </row>
    <row r="142" spans="1:5" x14ac:dyDescent="0.2">
      <c r="A142" s="19"/>
      <c r="B142" s="19"/>
      <c r="C142" s="19"/>
      <c r="D142" s="19"/>
      <c r="E142" s="19"/>
    </row>
    <row r="143" spans="1:5" x14ac:dyDescent="0.2">
      <c r="A143" s="19"/>
      <c r="B143" s="19"/>
      <c r="C143" s="19"/>
      <c r="D143" s="19"/>
      <c r="E143" s="19"/>
    </row>
    <row r="144" spans="1:5" x14ac:dyDescent="0.2">
      <c r="A144" s="19"/>
      <c r="B144" s="19"/>
      <c r="C144" s="19"/>
      <c r="D144" s="19"/>
      <c r="E144" s="19"/>
    </row>
    <row r="145" spans="1:5" x14ac:dyDescent="0.2">
      <c r="A145" s="19"/>
      <c r="B145" s="19"/>
      <c r="C145" s="19"/>
      <c r="D145" s="19"/>
      <c r="E145" s="19"/>
    </row>
    <row r="146" spans="1:5" x14ac:dyDescent="0.2">
      <c r="A146" s="19"/>
      <c r="B146" s="19"/>
      <c r="C146" s="19"/>
      <c r="D146" s="19"/>
      <c r="E146" s="19"/>
    </row>
    <row r="147" spans="1:5" x14ac:dyDescent="0.2">
      <c r="A147" s="19"/>
      <c r="B147" s="19"/>
      <c r="C147" s="19"/>
      <c r="D147" s="19"/>
      <c r="E147" s="19"/>
    </row>
    <row r="148" spans="1:5" x14ac:dyDescent="0.2">
      <c r="A148" s="19"/>
      <c r="B148" s="19"/>
      <c r="C148" s="19"/>
      <c r="D148" s="19"/>
      <c r="E148" s="19"/>
    </row>
    <row r="149" spans="1:5" x14ac:dyDescent="0.2">
      <c r="A149" s="19"/>
      <c r="B149" s="19"/>
      <c r="C149" s="19"/>
      <c r="D149" s="19"/>
      <c r="E149" s="19"/>
    </row>
    <row r="150" spans="1:5" x14ac:dyDescent="0.2">
      <c r="A150" s="19"/>
      <c r="B150" s="19"/>
      <c r="C150" s="19"/>
      <c r="D150" s="19"/>
      <c r="E150" s="19"/>
    </row>
    <row r="151" spans="1:5" x14ac:dyDescent="0.2">
      <c r="A151" s="19"/>
      <c r="B151" s="19"/>
      <c r="C151" s="19"/>
      <c r="D151" s="19"/>
      <c r="E151" s="19"/>
    </row>
    <row r="152" spans="1:5" x14ac:dyDescent="0.2">
      <c r="A152" s="19"/>
      <c r="B152" s="19"/>
      <c r="C152" s="19"/>
      <c r="D152" s="19"/>
      <c r="E152" s="19"/>
    </row>
    <row r="153" spans="1:5" x14ac:dyDescent="0.2">
      <c r="A153" s="19"/>
      <c r="B153" s="19"/>
      <c r="C153" s="19"/>
      <c r="D153" s="19"/>
      <c r="E153" s="19"/>
    </row>
    <row r="154" spans="1:5" x14ac:dyDescent="0.2">
      <c r="A154" s="19"/>
      <c r="B154" s="19"/>
      <c r="C154" s="19"/>
      <c r="D154" s="19"/>
      <c r="E154" s="19"/>
    </row>
    <row r="155" spans="1:5" x14ac:dyDescent="0.2">
      <c r="A155" s="19"/>
      <c r="B155" s="19"/>
      <c r="C155" s="19"/>
      <c r="D155" s="19"/>
      <c r="E155" s="19"/>
    </row>
    <row r="156" spans="1:5" x14ac:dyDescent="0.2">
      <c r="A156" s="19"/>
      <c r="B156" s="19"/>
      <c r="C156" s="19"/>
      <c r="D156" s="19"/>
      <c r="E156" s="19"/>
    </row>
    <row r="157" spans="1:5" x14ac:dyDescent="0.2">
      <c r="A157" s="19"/>
      <c r="B157" s="19"/>
      <c r="C157" s="19"/>
      <c r="D157" s="19"/>
      <c r="E157" s="19"/>
    </row>
    <row r="158" spans="1:5" x14ac:dyDescent="0.2">
      <c r="A158" s="19"/>
      <c r="B158" s="19"/>
      <c r="C158" s="19"/>
      <c r="D158" s="19"/>
      <c r="E158" s="19"/>
    </row>
    <row r="159" spans="1:5" x14ac:dyDescent="0.2">
      <c r="A159" s="19"/>
      <c r="B159" s="19"/>
      <c r="C159" s="19"/>
      <c r="D159" s="19"/>
      <c r="E159" s="19"/>
    </row>
    <row r="160" spans="1:5" x14ac:dyDescent="0.2">
      <c r="A160" s="19"/>
      <c r="B160" s="19"/>
      <c r="C160" s="19"/>
      <c r="D160" s="19"/>
      <c r="E160" s="19"/>
    </row>
    <row r="161" spans="1:5" x14ac:dyDescent="0.2">
      <c r="A161" s="19"/>
      <c r="B161" s="19"/>
      <c r="C161" s="19"/>
      <c r="D161" s="19"/>
      <c r="E161" s="19"/>
    </row>
    <row r="162" spans="1:5" x14ac:dyDescent="0.2">
      <c r="A162" s="19"/>
      <c r="B162" s="19"/>
      <c r="C162" s="19"/>
      <c r="D162" s="19"/>
      <c r="E162" s="19"/>
    </row>
    <row r="163" spans="1:5" x14ac:dyDescent="0.2">
      <c r="A163" s="19"/>
      <c r="B163" s="19"/>
      <c r="C163" s="19"/>
      <c r="D163" s="19"/>
      <c r="E163" s="19"/>
    </row>
    <row r="164" spans="1:5" x14ac:dyDescent="0.2">
      <c r="A164" s="19"/>
      <c r="B164" s="19"/>
      <c r="C164" s="19"/>
      <c r="D164" s="19"/>
      <c r="E164" s="19"/>
    </row>
    <row r="165" spans="1:5" x14ac:dyDescent="0.2">
      <c r="A165" s="19"/>
      <c r="B165" s="19"/>
      <c r="C165" s="19"/>
      <c r="D165" s="19"/>
      <c r="E165" s="19"/>
    </row>
    <row r="166" spans="1:5" x14ac:dyDescent="0.2">
      <c r="A166" s="19"/>
      <c r="B166" s="19"/>
      <c r="C166" s="19"/>
      <c r="D166" s="19"/>
      <c r="E166" s="19"/>
    </row>
    <row r="167" spans="1:5" x14ac:dyDescent="0.2">
      <c r="A167" s="19"/>
      <c r="B167" s="19"/>
      <c r="C167" s="19"/>
      <c r="D167" s="19"/>
      <c r="E167" s="19"/>
    </row>
    <row r="168" spans="1:5" x14ac:dyDescent="0.2">
      <c r="A168" s="19"/>
      <c r="B168" s="19"/>
      <c r="C168" s="19"/>
      <c r="D168" s="19"/>
      <c r="E168" s="19"/>
    </row>
    <row r="169" spans="1:5" x14ac:dyDescent="0.2">
      <c r="A169" s="19"/>
      <c r="B169" s="19"/>
      <c r="C169" s="19"/>
      <c r="D169" s="19"/>
      <c r="E169" s="19"/>
    </row>
    <row r="170" spans="1:5" x14ac:dyDescent="0.2">
      <c r="A170" s="19"/>
      <c r="B170" s="19"/>
      <c r="C170" s="19"/>
      <c r="D170" s="19"/>
      <c r="E170" s="19"/>
    </row>
    <row r="171" spans="1:5" x14ac:dyDescent="0.2">
      <c r="A171" s="19"/>
      <c r="B171" s="19"/>
      <c r="C171" s="19"/>
      <c r="D171" s="19"/>
      <c r="E171" s="19"/>
    </row>
    <row r="172" spans="1:5" x14ac:dyDescent="0.2">
      <c r="A172" s="19"/>
      <c r="B172" s="19"/>
      <c r="C172" s="19"/>
      <c r="D172" s="19"/>
      <c r="E172" s="19"/>
    </row>
    <row r="173" spans="1:5" x14ac:dyDescent="0.2">
      <c r="A173" s="19"/>
      <c r="B173" s="19"/>
      <c r="C173" s="19"/>
      <c r="D173" s="19"/>
      <c r="E173" s="19"/>
    </row>
    <row r="174" spans="1:5" x14ac:dyDescent="0.2">
      <c r="A174" s="19"/>
      <c r="B174" s="19"/>
      <c r="C174" s="19"/>
      <c r="D174" s="19"/>
      <c r="E174" s="19"/>
    </row>
    <row r="175" spans="1:5" x14ac:dyDescent="0.2">
      <c r="A175" s="19"/>
      <c r="B175" s="19"/>
      <c r="C175" s="19"/>
      <c r="D175" s="19"/>
      <c r="E175" s="19"/>
    </row>
    <row r="176" spans="1:5" x14ac:dyDescent="0.2">
      <c r="A176" s="19"/>
      <c r="B176" s="19"/>
      <c r="C176" s="19"/>
      <c r="D176" s="19"/>
      <c r="E176" s="19"/>
    </row>
    <row r="177" spans="1:5" x14ac:dyDescent="0.2">
      <c r="A177" s="19"/>
      <c r="B177" s="19"/>
      <c r="C177" s="19"/>
      <c r="D177" s="19"/>
      <c r="E177" s="19"/>
    </row>
    <row r="178" spans="1:5" x14ac:dyDescent="0.2">
      <c r="A178" s="19"/>
      <c r="B178" s="19"/>
      <c r="C178" s="19"/>
      <c r="D178" s="19"/>
      <c r="E178" s="19"/>
    </row>
    <row r="179" spans="1:5" x14ac:dyDescent="0.2">
      <c r="A179" s="19"/>
      <c r="B179" s="19"/>
      <c r="C179" s="19"/>
      <c r="D179" s="19"/>
      <c r="E179" s="19"/>
    </row>
    <row r="180" spans="1:5" x14ac:dyDescent="0.2">
      <c r="A180" s="19"/>
      <c r="B180" s="19"/>
      <c r="C180" s="19"/>
      <c r="D180" s="19"/>
      <c r="E180" s="19"/>
    </row>
    <row r="181" spans="1:5" x14ac:dyDescent="0.2">
      <c r="A181" s="19"/>
      <c r="B181" s="19"/>
      <c r="C181" s="19"/>
      <c r="D181" s="19"/>
      <c r="E181" s="19"/>
    </row>
    <row r="182" spans="1:5" x14ac:dyDescent="0.2">
      <c r="A182" s="19"/>
      <c r="B182" s="19"/>
      <c r="C182" s="19"/>
      <c r="D182" s="19"/>
      <c r="E182" s="19"/>
    </row>
    <row r="183" spans="1:5" x14ac:dyDescent="0.2">
      <c r="A183" s="19"/>
      <c r="B183" s="19"/>
      <c r="C183" s="19"/>
      <c r="D183" s="19"/>
      <c r="E183" s="19"/>
    </row>
    <row r="184" spans="1:5" x14ac:dyDescent="0.2">
      <c r="A184" s="19"/>
      <c r="B184" s="19"/>
      <c r="C184" s="19"/>
      <c r="D184" s="19"/>
      <c r="E184" s="19"/>
    </row>
    <row r="185" spans="1:5" x14ac:dyDescent="0.2">
      <c r="A185" s="19"/>
      <c r="B185" s="19"/>
      <c r="C185" s="19"/>
      <c r="D185" s="19"/>
      <c r="E185" s="19"/>
    </row>
    <row r="186" spans="1:5" x14ac:dyDescent="0.2">
      <c r="A186" s="19"/>
      <c r="B186" s="19"/>
      <c r="C186" s="19"/>
      <c r="D186" s="19"/>
      <c r="E186" s="19"/>
    </row>
    <row r="187" spans="1:5" x14ac:dyDescent="0.2">
      <c r="A187" s="19"/>
      <c r="B187" s="19"/>
      <c r="C187" s="19"/>
      <c r="D187" s="19"/>
      <c r="E187" s="19"/>
    </row>
    <row r="188" spans="1:5" x14ac:dyDescent="0.2">
      <c r="A188" s="19"/>
      <c r="B188" s="19"/>
      <c r="C188" s="19"/>
      <c r="D188" s="19"/>
      <c r="E188" s="19"/>
    </row>
    <row r="189" spans="1:5" x14ac:dyDescent="0.2">
      <c r="A189" s="19"/>
      <c r="B189" s="19"/>
      <c r="C189" s="19"/>
      <c r="D189" s="19"/>
      <c r="E189" s="19"/>
    </row>
    <row r="190" spans="1:5" x14ac:dyDescent="0.2">
      <c r="A190" s="19"/>
      <c r="B190" s="19"/>
      <c r="C190" s="19"/>
      <c r="D190" s="19"/>
      <c r="E190" s="19"/>
    </row>
    <row r="191" spans="1:5" x14ac:dyDescent="0.2">
      <c r="A191" s="19"/>
      <c r="B191" s="19"/>
      <c r="C191" s="19"/>
      <c r="D191" s="19"/>
      <c r="E191" s="19"/>
    </row>
    <row r="192" spans="1:5" x14ac:dyDescent="0.2">
      <c r="A192" s="19"/>
      <c r="B192" s="19"/>
      <c r="C192" s="19"/>
      <c r="D192" s="19"/>
      <c r="E192" s="19"/>
    </row>
    <row r="193" spans="1:5" x14ac:dyDescent="0.2">
      <c r="A193" s="19"/>
      <c r="B193" s="19"/>
      <c r="C193" s="19"/>
      <c r="D193" s="19"/>
      <c r="E193" s="19"/>
    </row>
    <row r="194" spans="1:5" x14ac:dyDescent="0.2">
      <c r="A194" s="19"/>
      <c r="B194" s="19"/>
      <c r="C194" s="19"/>
      <c r="D194" s="19"/>
      <c r="E194" s="19"/>
    </row>
    <row r="195" spans="1:5" x14ac:dyDescent="0.2">
      <c r="A195" s="19"/>
      <c r="B195" s="19"/>
      <c r="C195" s="19"/>
      <c r="D195" s="19"/>
      <c r="E195" s="19"/>
    </row>
    <row r="196" spans="1:5" x14ac:dyDescent="0.2">
      <c r="A196" s="19"/>
      <c r="B196" s="19"/>
      <c r="C196" s="19"/>
      <c r="D196" s="19"/>
      <c r="E196" s="19"/>
    </row>
    <row r="197" spans="1:5" x14ac:dyDescent="0.2">
      <c r="A197" s="19"/>
      <c r="B197" s="19"/>
      <c r="C197" s="19"/>
      <c r="D197" s="19"/>
      <c r="E197" s="19"/>
    </row>
    <row r="198" spans="1:5" x14ac:dyDescent="0.2">
      <c r="A198" s="19"/>
      <c r="B198" s="19"/>
      <c r="C198" s="19"/>
      <c r="D198" s="19"/>
      <c r="E198" s="19"/>
    </row>
    <row r="199" spans="1:5" x14ac:dyDescent="0.2">
      <c r="A199" s="19"/>
      <c r="B199" s="19"/>
      <c r="C199" s="19"/>
      <c r="D199" s="19"/>
      <c r="E199" s="19"/>
    </row>
    <row r="200" spans="1:5" x14ac:dyDescent="0.2">
      <c r="A200" s="19"/>
      <c r="B200" s="19"/>
      <c r="C200" s="19"/>
      <c r="D200" s="19"/>
      <c r="E200" s="19"/>
    </row>
    <row r="201" spans="1:5" x14ac:dyDescent="0.2">
      <c r="A201" s="19"/>
      <c r="B201" s="19"/>
      <c r="C201" s="19"/>
      <c r="D201" s="19"/>
      <c r="E201" s="19"/>
    </row>
    <row r="202" spans="1:5" x14ac:dyDescent="0.2">
      <c r="A202" s="19"/>
      <c r="B202" s="19"/>
      <c r="C202" s="19"/>
      <c r="D202" s="19"/>
      <c r="E202" s="19"/>
    </row>
    <row r="203" spans="1:5" x14ac:dyDescent="0.2">
      <c r="A203" s="19"/>
      <c r="B203" s="19"/>
      <c r="C203" s="19"/>
      <c r="D203" s="19"/>
      <c r="E203" s="19"/>
    </row>
    <row r="204" spans="1:5" x14ac:dyDescent="0.2">
      <c r="A204" s="19"/>
      <c r="B204" s="19"/>
      <c r="C204" s="19"/>
      <c r="D204" s="19"/>
      <c r="E204" s="19"/>
    </row>
    <row r="205" spans="1:5" x14ac:dyDescent="0.2">
      <c r="A205" s="19"/>
      <c r="B205" s="19"/>
      <c r="C205" s="19"/>
      <c r="D205" s="19"/>
      <c r="E205" s="19"/>
    </row>
    <row r="206" spans="1:5" x14ac:dyDescent="0.2">
      <c r="A206" s="19"/>
      <c r="B206" s="19"/>
      <c r="C206" s="19"/>
      <c r="D206" s="19"/>
      <c r="E206" s="19"/>
    </row>
    <row r="207" spans="1:5" x14ac:dyDescent="0.2">
      <c r="A207" s="19"/>
      <c r="B207" s="19"/>
      <c r="C207" s="19"/>
      <c r="D207" s="19"/>
      <c r="E207" s="19"/>
    </row>
    <row r="208" spans="1:5" x14ac:dyDescent="0.2">
      <c r="A208" s="19"/>
      <c r="B208" s="19"/>
      <c r="C208" s="19"/>
      <c r="D208" s="19"/>
      <c r="E208" s="19"/>
    </row>
    <row r="209" spans="1:5" x14ac:dyDescent="0.2">
      <c r="A209" s="19"/>
      <c r="B209" s="19"/>
      <c r="C209" s="19"/>
      <c r="D209" s="19"/>
      <c r="E209" s="19"/>
    </row>
    <row r="210" spans="1:5" x14ac:dyDescent="0.2">
      <c r="A210" s="19"/>
      <c r="B210" s="19"/>
      <c r="C210" s="19"/>
      <c r="D210" s="19"/>
      <c r="E210" s="19"/>
    </row>
    <row r="211" spans="1:5" x14ac:dyDescent="0.2">
      <c r="A211" s="19"/>
      <c r="B211" s="19"/>
      <c r="C211" s="19"/>
      <c r="D211" s="19"/>
      <c r="E211" s="19"/>
    </row>
    <row r="212" spans="1:5" x14ac:dyDescent="0.2">
      <c r="A212" s="19"/>
      <c r="B212" s="19"/>
      <c r="C212" s="19"/>
      <c r="D212" s="19"/>
      <c r="E212" s="19"/>
    </row>
    <row r="213" spans="1:5" x14ac:dyDescent="0.2">
      <c r="A213" s="19"/>
      <c r="B213" s="19"/>
      <c r="C213" s="19"/>
      <c r="D213" s="19"/>
      <c r="E213" s="19"/>
    </row>
    <row r="214" spans="1:5" x14ac:dyDescent="0.2">
      <c r="A214" s="19"/>
      <c r="B214" s="19"/>
      <c r="C214" s="19"/>
      <c r="D214" s="19"/>
      <c r="E214" s="19"/>
    </row>
    <row r="215" spans="1:5" x14ac:dyDescent="0.2">
      <c r="A215" s="19"/>
      <c r="B215" s="19"/>
      <c r="C215" s="19"/>
      <c r="D215" s="19"/>
      <c r="E215" s="19"/>
    </row>
    <row r="216" spans="1:5" x14ac:dyDescent="0.2">
      <c r="A216" s="19"/>
      <c r="B216" s="19"/>
      <c r="C216" s="19"/>
      <c r="D216" s="19"/>
      <c r="E216" s="19"/>
    </row>
    <row r="217" spans="1:5" x14ac:dyDescent="0.2">
      <c r="A217" s="19"/>
      <c r="B217" s="19"/>
      <c r="C217" s="19"/>
      <c r="D217" s="19"/>
      <c r="E217" s="19"/>
    </row>
    <row r="218" spans="1:5" x14ac:dyDescent="0.2">
      <c r="A218" s="19"/>
      <c r="B218" s="19"/>
      <c r="C218" s="19"/>
      <c r="D218" s="19"/>
      <c r="E218" s="19"/>
    </row>
    <row r="219" spans="1:5" x14ac:dyDescent="0.2">
      <c r="A219" s="19"/>
      <c r="B219" s="19"/>
      <c r="C219" s="19"/>
      <c r="D219" s="19"/>
      <c r="E219" s="19"/>
    </row>
    <row r="220" spans="1:5" x14ac:dyDescent="0.2">
      <c r="A220" s="19"/>
      <c r="B220" s="19"/>
      <c r="C220" s="19"/>
      <c r="D220" s="19"/>
      <c r="E220" s="19"/>
    </row>
    <row r="221" spans="1:5" x14ac:dyDescent="0.2">
      <c r="A221" s="19"/>
      <c r="B221" s="19"/>
      <c r="C221" s="19"/>
      <c r="D221" s="19"/>
      <c r="E221" s="19"/>
    </row>
    <row r="222" spans="1:5" x14ac:dyDescent="0.2">
      <c r="A222" s="19"/>
      <c r="B222" s="19"/>
      <c r="C222" s="19"/>
      <c r="D222" s="19"/>
      <c r="E222" s="19"/>
    </row>
    <row r="223" spans="1:5" x14ac:dyDescent="0.2">
      <c r="A223" s="19"/>
      <c r="B223" s="19"/>
      <c r="C223" s="19"/>
      <c r="D223" s="19"/>
      <c r="E223" s="19"/>
    </row>
    <row r="224" spans="1:5" x14ac:dyDescent="0.2">
      <c r="A224" s="19"/>
      <c r="B224" s="19"/>
      <c r="C224" s="19"/>
      <c r="D224" s="19"/>
      <c r="E224" s="19"/>
    </row>
    <row r="225" spans="1:5" x14ac:dyDescent="0.2">
      <c r="A225" s="19"/>
      <c r="B225" s="19"/>
      <c r="C225" s="19"/>
      <c r="D225" s="19"/>
      <c r="E225" s="19"/>
    </row>
    <row r="226" spans="1:5" x14ac:dyDescent="0.2">
      <c r="A226" s="19"/>
      <c r="B226" s="19"/>
      <c r="C226" s="19"/>
      <c r="D226" s="19"/>
      <c r="E226" s="19"/>
    </row>
    <row r="227" spans="1:5" x14ac:dyDescent="0.2">
      <c r="A227" s="19"/>
      <c r="B227" s="19"/>
      <c r="C227" s="19"/>
      <c r="D227" s="19"/>
      <c r="E227" s="19"/>
    </row>
    <row r="228" spans="1:5" x14ac:dyDescent="0.2">
      <c r="A228" s="19"/>
      <c r="B228" s="19"/>
      <c r="C228" s="19"/>
      <c r="D228" s="19"/>
      <c r="E228" s="19"/>
    </row>
    <row r="229" spans="1:5" x14ac:dyDescent="0.2">
      <c r="A229" s="19"/>
      <c r="B229" s="19"/>
      <c r="C229" s="19"/>
      <c r="D229" s="19"/>
      <c r="E229" s="19"/>
    </row>
    <row r="230" spans="1:5" x14ac:dyDescent="0.2">
      <c r="A230" s="19"/>
      <c r="B230" s="19"/>
      <c r="C230" s="19"/>
      <c r="D230" s="19"/>
      <c r="E230" s="19"/>
    </row>
    <row r="231" spans="1:5" x14ac:dyDescent="0.2">
      <c r="A231" s="19"/>
      <c r="B231" s="19"/>
      <c r="C231" s="19"/>
      <c r="D231" s="19"/>
      <c r="E231" s="19"/>
    </row>
    <row r="232" spans="1:5" x14ac:dyDescent="0.2">
      <c r="A232" s="19"/>
      <c r="B232" s="19"/>
      <c r="C232" s="19"/>
      <c r="D232" s="19"/>
      <c r="E232" s="19"/>
    </row>
    <row r="233" spans="1:5" x14ac:dyDescent="0.2">
      <c r="A233" s="19"/>
      <c r="B233" s="19"/>
      <c r="C233" s="19"/>
      <c r="D233" s="19"/>
      <c r="E233" s="19"/>
    </row>
    <row r="234" spans="1:5" x14ac:dyDescent="0.2">
      <c r="A234" s="19"/>
      <c r="B234" s="19"/>
      <c r="C234" s="19"/>
      <c r="D234" s="19"/>
      <c r="E234" s="19"/>
    </row>
    <row r="235" spans="1:5" x14ac:dyDescent="0.2">
      <c r="A235" s="19"/>
      <c r="B235" s="19"/>
      <c r="C235" s="19"/>
      <c r="D235" s="19"/>
      <c r="E235" s="19"/>
    </row>
    <row r="236" spans="1:5" x14ac:dyDescent="0.2">
      <c r="A236" s="19"/>
      <c r="B236" s="19"/>
      <c r="C236" s="19"/>
      <c r="D236" s="19"/>
      <c r="E236" s="19"/>
    </row>
    <row r="237" spans="1:5" x14ac:dyDescent="0.2">
      <c r="A237" s="19"/>
      <c r="B237" s="19"/>
      <c r="C237" s="19"/>
      <c r="D237" s="19"/>
      <c r="E237" s="19"/>
    </row>
    <row r="238" spans="1:5" x14ac:dyDescent="0.2">
      <c r="A238" s="19"/>
      <c r="B238" s="19"/>
      <c r="C238" s="19"/>
      <c r="D238" s="19"/>
      <c r="E238" s="19"/>
    </row>
    <row r="239" spans="1:5" x14ac:dyDescent="0.2">
      <c r="A239" s="19"/>
      <c r="B239" s="19"/>
      <c r="C239" s="19"/>
      <c r="D239" s="19"/>
      <c r="E239" s="19"/>
    </row>
    <row r="240" spans="1:5" x14ac:dyDescent="0.2">
      <c r="A240" s="19"/>
      <c r="B240" s="19"/>
      <c r="C240" s="19"/>
      <c r="D240" s="19"/>
      <c r="E240" s="19"/>
    </row>
    <row r="241" spans="1:5" x14ac:dyDescent="0.2">
      <c r="A241" s="19"/>
      <c r="B241" s="19"/>
      <c r="C241" s="19"/>
      <c r="D241" s="19"/>
      <c r="E241" s="19"/>
    </row>
    <row r="242" spans="1:5" x14ac:dyDescent="0.2">
      <c r="A242" s="19"/>
      <c r="B242" s="19"/>
      <c r="C242" s="19"/>
      <c r="D242" s="19"/>
      <c r="E242" s="19"/>
    </row>
    <row r="243" spans="1:5" x14ac:dyDescent="0.2">
      <c r="A243" s="19"/>
      <c r="B243" s="19"/>
      <c r="C243" s="19"/>
      <c r="D243" s="19"/>
      <c r="E243" s="19"/>
    </row>
    <row r="244" spans="1:5" x14ac:dyDescent="0.2">
      <c r="A244" s="19"/>
      <c r="B244" s="19"/>
      <c r="C244" s="19"/>
      <c r="D244" s="19"/>
      <c r="E244" s="19"/>
    </row>
    <row r="245" spans="1:5" x14ac:dyDescent="0.2">
      <c r="A245" s="19"/>
      <c r="B245" s="19"/>
      <c r="C245" s="19"/>
      <c r="D245" s="19"/>
      <c r="E245" s="19"/>
    </row>
    <row r="246" spans="1:5" x14ac:dyDescent="0.2">
      <c r="A246" s="19"/>
      <c r="B246" s="19"/>
      <c r="C246" s="19"/>
      <c r="D246" s="19"/>
      <c r="E246" s="19"/>
    </row>
    <row r="247" spans="1:5" x14ac:dyDescent="0.2">
      <c r="A247" s="19"/>
      <c r="B247" s="19"/>
      <c r="C247" s="19"/>
      <c r="D247" s="19"/>
      <c r="E247" s="19"/>
    </row>
    <row r="248" spans="1:5" x14ac:dyDescent="0.2">
      <c r="A248" s="19"/>
      <c r="B248" s="19"/>
      <c r="C248" s="19"/>
      <c r="D248" s="19"/>
      <c r="E248" s="19"/>
    </row>
    <row r="249" spans="1:5" x14ac:dyDescent="0.2">
      <c r="A249" s="19"/>
      <c r="B249" s="19"/>
      <c r="C249" s="19"/>
      <c r="D249" s="19"/>
      <c r="E249" s="19"/>
    </row>
    <row r="250" spans="1:5" x14ac:dyDescent="0.2">
      <c r="A250" s="19"/>
      <c r="B250" s="19"/>
      <c r="C250" s="19"/>
      <c r="D250" s="19"/>
      <c r="E250" s="19"/>
    </row>
    <row r="251" spans="1:5" x14ac:dyDescent="0.2">
      <c r="A251" s="19"/>
      <c r="B251" s="19"/>
      <c r="C251" s="19"/>
      <c r="D251" s="19"/>
      <c r="E251" s="19"/>
    </row>
    <row r="252" spans="1:5" x14ac:dyDescent="0.2">
      <c r="A252" s="19"/>
      <c r="B252" s="19"/>
      <c r="C252" s="19"/>
      <c r="D252" s="19"/>
      <c r="E252" s="19"/>
    </row>
    <row r="253" spans="1:5" x14ac:dyDescent="0.2">
      <c r="A253" s="19"/>
      <c r="B253" s="19"/>
      <c r="C253" s="19"/>
      <c r="D253" s="19"/>
      <c r="E253" s="19"/>
    </row>
    <row r="254" spans="1:5" x14ac:dyDescent="0.2">
      <c r="A254" s="19"/>
      <c r="B254" s="19"/>
      <c r="C254" s="19"/>
      <c r="D254" s="19"/>
      <c r="E254" s="19"/>
    </row>
    <row r="255" spans="1:5" x14ac:dyDescent="0.2">
      <c r="A255" s="19"/>
      <c r="B255" s="19"/>
      <c r="C255" s="19"/>
      <c r="D255" s="19"/>
      <c r="E255" s="19"/>
    </row>
    <row r="256" spans="1:5" x14ac:dyDescent="0.2">
      <c r="A256" s="19"/>
      <c r="B256" s="19"/>
      <c r="C256" s="19"/>
      <c r="D256" s="19"/>
      <c r="E256" s="19"/>
    </row>
    <row r="257" spans="1:5" x14ac:dyDescent="0.2">
      <c r="A257" s="19"/>
      <c r="B257" s="19"/>
      <c r="C257" s="19"/>
      <c r="D257" s="19"/>
      <c r="E257" s="19"/>
    </row>
    <row r="258" spans="1:5" x14ac:dyDescent="0.2">
      <c r="A258" s="19"/>
      <c r="B258" s="19"/>
      <c r="C258" s="19"/>
      <c r="D258" s="19"/>
      <c r="E258" s="19"/>
    </row>
    <row r="259" spans="1:5" x14ac:dyDescent="0.2">
      <c r="A259" s="19"/>
      <c r="B259" s="19"/>
      <c r="C259" s="19"/>
      <c r="D259" s="19"/>
      <c r="E259" s="19"/>
    </row>
    <row r="260" spans="1:5" x14ac:dyDescent="0.2">
      <c r="A260" s="19"/>
      <c r="B260" s="19"/>
      <c r="C260" s="19"/>
      <c r="D260" s="19"/>
      <c r="E260" s="19"/>
    </row>
    <row r="261" spans="1:5" x14ac:dyDescent="0.2">
      <c r="A261" s="19"/>
      <c r="B261" s="19"/>
      <c r="C261" s="19"/>
      <c r="D261" s="19"/>
      <c r="E261" s="19"/>
    </row>
    <row r="262" spans="1:5" x14ac:dyDescent="0.2">
      <c r="A262" s="19"/>
      <c r="B262" s="19"/>
      <c r="C262" s="19"/>
      <c r="D262" s="19"/>
      <c r="E262" s="19"/>
    </row>
    <row r="263" spans="1:5" x14ac:dyDescent="0.2">
      <c r="A263" s="19"/>
      <c r="B263" s="19"/>
      <c r="C263" s="19"/>
      <c r="D263" s="19"/>
      <c r="E263" s="19"/>
    </row>
    <row r="264" spans="1:5" x14ac:dyDescent="0.2">
      <c r="A264" s="19"/>
      <c r="B264" s="19"/>
      <c r="C264" s="19"/>
      <c r="D264" s="19"/>
      <c r="E264" s="19"/>
    </row>
    <row r="265" spans="1:5" x14ac:dyDescent="0.2">
      <c r="A265" s="19"/>
      <c r="B265" s="19"/>
      <c r="C265" s="19"/>
      <c r="D265" s="19"/>
      <c r="E265" s="19"/>
    </row>
    <row r="266" spans="1:5" x14ac:dyDescent="0.2">
      <c r="A266" s="19"/>
      <c r="B266" s="19"/>
      <c r="C266" s="19"/>
      <c r="D266" s="19"/>
      <c r="E266" s="19"/>
    </row>
    <row r="267" spans="1:5" x14ac:dyDescent="0.2">
      <c r="A267" s="19"/>
      <c r="B267" s="19"/>
      <c r="C267" s="19"/>
      <c r="D267" s="19"/>
      <c r="E267" s="19"/>
    </row>
    <row r="268" spans="1:5" x14ac:dyDescent="0.2">
      <c r="A268" s="19"/>
      <c r="B268" s="19"/>
      <c r="C268" s="19"/>
      <c r="D268" s="19"/>
      <c r="E268" s="19"/>
    </row>
    <row r="269" spans="1:5" x14ac:dyDescent="0.2">
      <c r="A269" s="19"/>
      <c r="B269" s="19"/>
      <c r="C269" s="19"/>
      <c r="D269" s="19"/>
      <c r="E269" s="19"/>
    </row>
    <row r="270" spans="1:5" x14ac:dyDescent="0.2">
      <c r="A270" s="19"/>
      <c r="B270" s="19"/>
      <c r="C270" s="19"/>
      <c r="D270" s="19"/>
      <c r="E270" s="19"/>
    </row>
    <row r="271" spans="1:5" x14ac:dyDescent="0.2">
      <c r="A271" s="19"/>
      <c r="B271" s="19"/>
      <c r="C271" s="19"/>
      <c r="D271" s="19"/>
      <c r="E271" s="19"/>
    </row>
    <row r="272" spans="1:5" x14ac:dyDescent="0.2">
      <c r="A272" s="19"/>
      <c r="B272" s="19"/>
      <c r="C272" s="19"/>
      <c r="D272" s="19"/>
      <c r="E272" s="19"/>
    </row>
    <row r="273" spans="1:5" x14ac:dyDescent="0.2">
      <c r="A273" s="19"/>
      <c r="B273" s="19"/>
      <c r="C273" s="19"/>
      <c r="D273" s="19"/>
      <c r="E273" s="19"/>
    </row>
    <row r="274" spans="1:5" x14ac:dyDescent="0.2">
      <c r="A274" s="19"/>
      <c r="B274" s="19"/>
      <c r="C274" s="19"/>
      <c r="D274" s="19"/>
      <c r="E274" s="19"/>
    </row>
    <row r="275" spans="1:5" x14ac:dyDescent="0.2">
      <c r="A275" s="19"/>
      <c r="B275" s="19"/>
      <c r="C275" s="19"/>
      <c r="D275" s="19"/>
      <c r="E275" s="19"/>
    </row>
    <row r="276" spans="1:5" x14ac:dyDescent="0.2">
      <c r="A276" s="19"/>
      <c r="B276" s="19"/>
      <c r="C276" s="19"/>
      <c r="D276" s="19"/>
      <c r="E276" s="19"/>
    </row>
    <row r="277" spans="1:5" x14ac:dyDescent="0.2">
      <c r="A277" s="19"/>
      <c r="B277" s="19"/>
      <c r="C277" s="19"/>
      <c r="D277" s="19"/>
      <c r="E277" s="19"/>
    </row>
    <row r="278" spans="1:5" x14ac:dyDescent="0.2">
      <c r="A278" s="19"/>
      <c r="B278" s="19"/>
      <c r="C278" s="19"/>
      <c r="D278" s="19"/>
      <c r="E278" s="19"/>
    </row>
    <row r="279" spans="1:5" x14ac:dyDescent="0.2">
      <c r="A279" s="19"/>
      <c r="B279" s="19"/>
      <c r="C279" s="19"/>
      <c r="D279" s="19"/>
      <c r="E279" s="19"/>
    </row>
    <row r="280" spans="1:5" x14ac:dyDescent="0.2">
      <c r="A280" s="19"/>
      <c r="B280" s="19"/>
      <c r="C280" s="19"/>
      <c r="D280" s="19"/>
      <c r="E280" s="19"/>
    </row>
    <row r="281" spans="1:5" x14ac:dyDescent="0.2">
      <c r="A281" s="19"/>
      <c r="B281" s="19"/>
      <c r="C281" s="19"/>
      <c r="D281" s="19"/>
      <c r="E281" s="19"/>
    </row>
    <row r="282" spans="1:5" x14ac:dyDescent="0.2">
      <c r="A282" s="19"/>
      <c r="B282" s="19"/>
      <c r="C282" s="19"/>
      <c r="D282" s="19"/>
      <c r="E282" s="19"/>
    </row>
    <row r="283" spans="1:5" x14ac:dyDescent="0.2">
      <c r="A283" s="19"/>
      <c r="B283" s="19"/>
      <c r="C283" s="19"/>
      <c r="D283" s="19"/>
      <c r="E283" s="19"/>
    </row>
    <row r="284" spans="1:5" x14ac:dyDescent="0.2">
      <c r="A284" s="19"/>
      <c r="B284" s="19"/>
      <c r="C284" s="19"/>
      <c r="D284" s="19"/>
      <c r="E284" s="19"/>
    </row>
    <row r="285" spans="1:5" x14ac:dyDescent="0.2">
      <c r="A285" s="19"/>
      <c r="B285" s="19"/>
      <c r="C285" s="19"/>
      <c r="D285" s="19"/>
      <c r="E285" s="19"/>
    </row>
    <row r="286" spans="1:5" x14ac:dyDescent="0.2">
      <c r="A286" s="19"/>
      <c r="B286" s="19"/>
      <c r="C286" s="19"/>
      <c r="D286" s="19"/>
      <c r="E286" s="19"/>
    </row>
    <row r="287" spans="1:5" x14ac:dyDescent="0.2">
      <c r="A287" s="19"/>
      <c r="B287" s="19"/>
      <c r="C287" s="19"/>
      <c r="D287" s="19"/>
      <c r="E287" s="19"/>
    </row>
    <row r="288" spans="1:5" x14ac:dyDescent="0.2">
      <c r="A288" s="19"/>
      <c r="B288" s="19"/>
      <c r="C288" s="19"/>
      <c r="D288" s="19"/>
      <c r="E288" s="19"/>
    </row>
    <row r="289" spans="1:5" x14ac:dyDescent="0.2">
      <c r="A289" s="19"/>
      <c r="B289" s="19"/>
      <c r="C289" s="19"/>
      <c r="D289" s="19"/>
      <c r="E289" s="19"/>
    </row>
    <row r="290" spans="1:5" x14ac:dyDescent="0.2">
      <c r="A290" s="19"/>
      <c r="B290" s="19"/>
      <c r="C290" s="19"/>
      <c r="D290" s="19"/>
      <c r="E290" s="19"/>
    </row>
    <row r="291" spans="1:5" x14ac:dyDescent="0.2">
      <c r="A291" s="19"/>
      <c r="B291" s="19"/>
      <c r="C291" s="19"/>
      <c r="D291" s="19"/>
      <c r="E291" s="19"/>
    </row>
    <row r="292" spans="1:5" x14ac:dyDescent="0.2">
      <c r="A292" s="19"/>
      <c r="B292" s="19"/>
      <c r="C292" s="19"/>
      <c r="D292" s="19"/>
      <c r="E292" s="19"/>
    </row>
    <row r="293" spans="1:5" x14ac:dyDescent="0.2">
      <c r="A293" s="19"/>
      <c r="B293" s="19"/>
      <c r="C293" s="19"/>
      <c r="D293" s="19"/>
      <c r="E293" s="19"/>
    </row>
    <row r="294" spans="1:5" x14ac:dyDescent="0.2">
      <c r="A294" s="19"/>
      <c r="B294" s="19"/>
      <c r="C294" s="19"/>
      <c r="D294" s="19"/>
      <c r="E294" s="19"/>
    </row>
    <row r="295" spans="1:5" x14ac:dyDescent="0.2">
      <c r="A295" s="19"/>
      <c r="B295" s="19"/>
      <c r="C295" s="19"/>
      <c r="D295" s="19"/>
      <c r="E295" s="19"/>
    </row>
    <row r="296" spans="1:5" x14ac:dyDescent="0.2">
      <c r="A296" s="19"/>
      <c r="B296" s="19"/>
      <c r="C296" s="19"/>
      <c r="D296" s="19"/>
      <c r="E296" s="19"/>
    </row>
    <row r="297" spans="1:5" x14ac:dyDescent="0.2">
      <c r="A297" s="19"/>
      <c r="B297" s="19"/>
      <c r="C297" s="19"/>
      <c r="D297" s="19"/>
      <c r="E297" s="19"/>
    </row>
    <row r="298" spans="1:5" x14ac:dyDescent="0.2">
      <c r="A298" s="19"/>
      <c r="B298" s="19"/>
      <c r="C298" s="19"/>
      <c r="D298" s="19"/>
      <c r="E298" s="19"/>
    </row>
    <row r="299" spans="1:5" x14ac:dyDescent="0.2">
      <c r="A299" s="19"/>
      <c r="B299" s="19"/>
      <c r="C299" s="19"/>
      <c r="D299" s="19"/>
      <c r="E299" s="19"/>
    </row>
    <row r="300" spans="1:5" x14ac:dyDescent="0.2">
      <c r="A300" s="19"/>
      <c r="B300" s="19"/>
      <c r="C300" s="19"/>
      <c r="D300" s="19"/>
      <c r="E300" s="19"/>
    </row>
    <row r="301" spans="1:5" x14ac:dyDescent="0.2">
      <c r="A301" s="19"/>
      <c r="B301" s="19"/>
      <c r="C301" s="19"/>
      <c r="D301" s="19"/>
      <c r="E301" s="19"/>
    </row>
    <row r="302" spans="1:5" x14ac:dyDescent="0.2">
      <c r="A302" s="19"/>
      <c r="B302" s="19"/>
      <c r="C302" s="19"/>
      <c r="D302" s="19"/>
      <c r="E302" s="19"/>
    </row>
    <row r="303" spans="1:5" x14ac:dyDescent="0.2">
      <c r="A303" s="19"/>
      <c r="B303" s="19"/>
      <c r="C303" s="19"/>
      <c r="D303" s="19"/>
      <c r="E303" s="19"/>
    </row>
    <row r="304" spans="1:5" x14ac:dyDescent="0.2">
      <c r="A304" s="19"/>
      <c r="B304" s="19"/>
      <c r="C304" s="19"/>
      <c r="D304" s="19"/>
      <c r="E304" s="19"/>
    </row>
    <row r="305" spans="1:5" x14ac:dyDescent="0.2">
      <c r="A305" s="19"/>
      <c r="B305" s="19"/>
      <c r="C305" s="19"/>
      <c r="D305" s="19"/>
      <c r="E305" s="19"/>
    </row>
    <row r="306" spans="1:5" x14ac:dyDescent="0.2">
      <c r="A306" s="19"/>
      <c r="B306" s="19"/>
      <c r="C306" s="19"/>
      <c r="D306" s="19"/>
      <c r="E306" s="19"/>
    </row>
    <row r="307" spans="1:5" x14ac:dyDescent="0.2">
      <c r="A307" s="19"/>
      <c r="B307" s="19"/>
      <c r="C307" s="19"/>
      <c r="D307" s="19"/>
      <c r="E307" s="19"/>
    </row>
    <row r="308" spans="1:5" x14ac:dyDescent="0.2">
      <c r="A308" s="19"/>
      <c r="B308" s="19"/>
      <c r="C308" s="19"/>
      <c r="D308" s="19"/>
      <c r="E308" s="19"/>
    </row>
    <row r="309" spans="1:5" x14ac:dyDescent="0.2">
      <c r="A309" s="19"/>
      <c r="B309" s="19"/>
      <c r="C309" s="19"/>
      <c r="D309" s="19"/>
      <c r="E309" s="19"/>
    </row>
    <row r="310" spans="1:5" x14ac:dyDescent="0.2">
      <c r="A310" s="19"/>
      <c r="B310" s="19"/>
      <c r="C310" s="19"/>
      <c r="D310" s="19"/>
      <c r="E310" s="19"/>
    </row>
    <row r="311" spans="1:5" x14ac:dyDescent="0.2">
      <c r="A311" s="19"/>
      <c r="B311" s="19"/>
      <c r="C311" s="19"/>
      <c r="D311" s="19"/>
      <c r="E311" s="19"/>
    </row>
    <row r="312" spans="1:5" x14ac:dyDescent="0.2">
      <c r="A312" s="19"/>
      <c r="B312" s="19"/>
      <c r="C312" s="19"/>
      <c r="D312" s="19"/>
      <c r="E312" s="19"/>
    </row>
    <row r="313" spans="1:5" x14ac:dyDescent="0.2">
      <c r="A313" s="19"/>
      <c r="B313" s="19"/>
      <c r="C313" s="19"/>
      <c r="D313" s="19"/>
      <c r="E313" s="19"/>
    </row>
    <row r="314" spans="1:5" x14ac:dyDescent="0.2">
      <c r="A314" s="19"/>
      <c r="B314" s="19"/>
      <c r="C314" s="19"/>
      <c r="D314" s="19"/>
      <c r="E314" s="19"/>
    </row>
    <row r="315" spans="1:5" x14ac:dyDescent="0.2">
      <c r="A315" s="19"/>
      <c r="B315" s="19"/>
      <c r="C315" s="19"/>
      <c r="D315" s="19"/>
      <c r="E315" s="19"/>
    </row>
    <row r="316" spans="1:5" x14ac:dyDescent="0.2">
      <c r="A316" s="19"/>
      <c r="B316" s="19"/>
      <c r="C316" s="19"/>
      <c r="D316" s="19"/>
      <c r="E316" s="19"/>
    </row>
    <row r="317" spans="1:5" x14ac:dyDescent="0.2">
      <c r="A317" s="19"/>
      <c r="B317" s="19"/>
      <c r="C317" s="19"/>
      <c r="D317" s="19"/>
      <c r="E317" s="19"/>
    </row>
    <row r="318" spans="1:5" x14ac:dyDescent="0.2">
      <c r="A318" s="19"/>
      <c r="B318" s="19"/>
      <c r="C318" s="19"/>
      <c r="D318" s="19"/>
      <c r="E318" s="19"/>
    </row>
    <row r="319" spans="1:5" x14ac:dyDescent="0.2">
      <c r="A319" s="19"/>
      <c r="B319" s="19"/>
      <c r="C319" s="19"/>
      <c r="D319" s="19"/>
      <c r="E319" s="19"/>
    </row>
    <row r="320" spans="1:5" x14ac:dyDescent="0.2">
      <c r="A320" s="19"/>
      <c r="B320" s="19"/>
      <c r="C320" s="19"/>
      <c r="D320" s="19"/>
      <c r="E320" s="19"/>
    </row>
    <row r="321" spans="1:5" x14ac:dyDescent="0.2">
      <c r="A321" s="19"/>
      <c r="B321" s="19"/>
      <c r="C321" s="19"/>
      <c r="D321" s="19"/>
      <c r="E321" s="19"/>
    </row>
    <row r="322" spans="1:5" x14ac:dyDescent="0.2">
      <c r="A322" s="19"/>
      <c r="B322" s="19"/>
      <c r="C322" s="19"/>
      <c r="D322" s="19"/>
      <c r="E322" s="19"/>
    </row>
    <row r="323" spans="1:5" x14ac:dyDescent="0.2">
      <c r="A323" s="19"/>
      <c r="B323" s="19"/>
      <c r="C323" s="19"/>
      <c r="D323" s="19"/>
      <c r="E323" s="19"/>
    </row>
    <row r="324" spans="1:5" x14ac:dyDescent="0.2">
      <c r="A324" s="19"/>
      <c r="B324" s="19"/>
      <c r="C324" s="19"/>
      <c r="D324" s="19"/>
      <c r="E324" s="19"/>
    </row>
    <row r="325" spans="1:5" x14ac:dyDescent="0.2">
      <c r="A325" s="19"/>
      <c r="B325" s="19"/>
      <c r="C325" s="19"/>
      <c r="D325" s="19"/>
      <c r="E325" s="19"/>
    </row>
    <row r="326" spans="1:5" x14ac:dyDescent="0.2">
      <c r="A326" s="19"/>
      <c r="B326" s="19"/>
      <c r="C326" s="19"/>
      <c r="D326" s="19"/>
      <c r="E326" s="19"/>
    </row>
    <row r="327" spans="1:5" x14ac:dyDescent="0.2">
      <c r="A327" s="19"/>
      <c r="B327" s="19"/>
      <c r="C327" s="19"/>
      <c r="D327" s="19"/>
      <c r="E327" s="19"/>
    </row>
    <row r="328" spans="1:5" x14ac:dyDescent="0.2">
      <c r="A328" s="19"/>
      <c r="B328" s="19"/>
      <c r="C328" s="19"/>
      <c r="D328" s="19"/>
      <c r="E328" s="19"/>
    </row>
    <row r="329" spans="1:5" x14ac:dyDescent="0.2">
      <c r="A329" s="19"/>
      <c r="B329" s="19"/>
      <c r="C329" s="19"/>
      <c r="D329" s="19"/>
      <c r="E329" s="19"/>
    </row>
    <row r="330" spans="1:5" x14ac:dyDescent="0.2">
      <c r="A330" s="19"/>
      <c r="B330" s="19"/>
      <c r="C330" s="19"/>
      <c r="D330" s="19"/>
      <c r="E330" s="19"/>
    </row>
    <row r="331" spans="1:5" x14ac:dyDescent="0.2">
      <c r="A331" s="19"/>
      <c r="B331" s="19"/>
      <c r="C331" s="19"/>
      <c r="D331" s="19"/>
      <c r="E331" s="19"/>
    </row>
    <row r="332" spans="1:5" x14ac:dyDescent="0.2">
      <c r="A332" s="19"/>
      <c r="B332" s="19"/>
      <c r="C332" s="19"/>
      <c r="D332" s="19"/>
      <c r="E332" s="19"/>
    </row>
    <row r="333" spans="1:5" x14ac:dyDescent="0.2">
      <c r="A333" s="19"/>
      <c r="B333" s="19"/>
      <c r="C333" s="19"/>
      <c r="D333" s="19"/>
      <c r="E333" s="19"/>
    </row>
    <row r="334" spans="1:5" x14ac:dyDescent="0.2">
      <c r="A334" s="19"/>
      <c r="B334" s="19"/>
      <c r="C334" s="19"/>
      <c r="D334" s="19"/>
      <c r="E334" s="19"/>
    </row>
    <row r="335" spans="1:5" x14ac:dyDescent="0.2">
      <c r="A335" s="19"/>
      <c r="B335" s="19"/>
      <c r="C335" s="19"/>
      <c r="D335" s="19"/>
      <c r="E335" s="19"/>
    </row>
    <row r="336" spans="1:5" x14ac:dyDescent="0.2">
      <c r="A336" s="19"/>
      <c r="B336" s="19"/>
      <c r="C336" s="19"/>
      <c r="D336" s="19"/>
      <c r="E336" s="19"/>
    </row>
    <row r="337" spans="1:5" x14ac:dyDescent="0.2">
      <c r="A337" s="19"/>
      <c r="B337" s="19"/>
      <c r="C337" s="19"/>
      <c r="D337" s="19"/>
      <c r="E337" s="19"/>
    </row>
    <row r="338" spans="1:5" x14ac:dyDescent="0.2">
      <c r="A338" s="19"/>
      <c r="B338" s="19"/>
      <c r="C338" s="19"/>
      <c r="D338" s="19"/>
      <c r="E338" s="19"/>
    </row>
    <row r="339" spans="1:5" x14ac:dyDescent="0.2">
      <c r="A339" s="19"/>
      <c r="B339" s="19"/>
      <c r="C339" s="19"/>
      <c r="D339" s="19"/>
      <c r="E339" s="19"/>
    </row>
    <row r="340" spans="1:5" x14ac:dyDescent="0.2">
      <c r="A340" s="19"/>
      <c r="B340" s="19"/>
      <c r="C340" s="19"/>
      <c r="D340" s="19"/>
      <c r="E340" s="19"/>
    </row>
    <row r="341" spans="1:5" x14ac:dyDescent="0.2">
      <c r="A341" s="19"/>
      <c r="B341" s="19"/>
      <c r="C341" s="19"/>
      <c r="D341" s="19"/>
      <c r="E341" s="19"/>
    </row>
    <row r="342" spans="1:5" x14ac:dyDescent="0.2">
      <c r="A342" s="19"/>
      <c r="B342" s="19"/>
      <c r="C342" s="19"/>
      <c r="D342" s="19"/>
      <c r="E342" s="19"/>
    </row>
    <row r="343" spans="1:5" x14ac:dyDescent="0.2">
      <c r="A343" s="19"/>
      <c r="B343" s="19"/>
      <c r="C343" s="19"/>
      <c r="D343" s="19"/>
      <c r="E343" s="19"/>
    </row>
    <row r="344" spans="1:5" x14ac:dyDescent="0.2">
      <c r="A344" s="19"/>
      <c r="B344" s="19"/>
      <c r="C344" s="19"/>
      <c r="D344" s="19"/>
      <c r="E344" s="19"/>
    </row>
    <row r="345" spans="1:5" x14ac:dyDescent="0.2">
      <c r="A345" s="19"/>
      <c r="B345" s="19"/>
      <c r="C345" s="19"/>
      <c r="D345" s="19"/>
      <c r="E345" s="19"/>
    </row>
    <row r="346" spans="1:5" x14ac:dyDescent="0.2">
      <c r="A346" s="19"/>
      <c r="B346" s="19"/>
      <c r="C346" s="19"/>
      <c r="D346" s="19"/>
      <c r="E346" s="19"/>
    </row>
    <row r="347" spans="1:5" x14ac:dyDescent="0.2">
      <c r="A347" s="19"/>
      <c r="B347" s="19"/>
      <c r="C347" s="19"/>
      <c r="D347" s="19"/>
      <c r="E347" s="19"/>
    </row>
    <row r="348" spans="1:5" x14ac:dyDescent="0.2">
      <c r="A348" s="19"/>
      <c r="B348" s="19"/>
      <c r="C348" s="19"/>
      <c r="D348" s="19"/>
      <c r="E348" s="19"/>
    </row>
    <row r="349" spans="1:5" x14ac:dyDescent="0.2">
      <c r="A349" s="19"/>
      <c r="B349" s="19"/>
      <c r="C349" s="19"/>
      <c r="D349" s="19"/>
      <c r="E349" s="19"/>
    </row>
    <row r="350" spans="1:5" x14ac:dyDescent="0.2">
      <c r="A350" s="19"/>
      <c r="B350" s="19"/>
      <c r="C350" s="19"/>
      <c r="D350" s="19"/>
      <c r="E350" s="19"/>
    </row>
    <row r="351" spans="1:5" x14ac:dyDescent="0.2">
      <c r="A351" s="19"/>
      <c r="B351" s="19"/>
      <c r="C351" s="19"/>
      <c r="D351" s="19"/>
      <c r="E351" s="19"/>
    </row>
    <row r="352" spans="1:5" x14ac:dyDescent="0.2">
      <c r="A352" s="19"/>
      <c r="B352" s="19"/>
      <c r="C352" s="19"/>
      <c r="D352" s="19"/>
      <c r="E352" s="19"/>
    </row>
    <row r="353" spans="1:5" x14ac:dyDescent="0.2">
      <c r="A353" s="19"/>
      <c r="B353" s="19"/>
      <c r="C353" s="19"/>
      <c r="D353" s="19"/>
      <c r="E353" s="19"/>
    </row>
    <row r="354" spans="1:5" x14ac:dyDescent="0.2">
      <c r="A354" s="19"/>
      <c r="B354" s="19"/>
      <c r="C354" s="19"/>
      <c r="D354" s="19"/>
      <c r="E354" s="19"/>
    </row>
    <row r="355" spans="1:5" x14ac:dyDescent="0.2">
      <c r="A355" s="19"/>
      <c r="B355" s="19"/>
      <c r="C355" s="19"/>
      <c r="D355" s="19"/>
      <c r="E355" s="19"/>
    </row>
    <row r="356" spans="1:5" x14ac:dyDescent="0.2">
      <c r="A356" s="19"/>
      <c r="B356" s="19"/>
      <c r="C356" s="19"/>
      <c r="D356" s="19"/>
      <c r="E356" s="19"/>
    </row>
    <row r="357" spans="1:5" x14ac:dyDescent="0.2">
      <c r="A357" s="19"/>
      <c r="B357" s="19"/>
      <c r="C357" s="19"/>
      <c r="D357" s="19"/>
      <c r="E357" s="19"/>
    </row>
    <row r="358" spans="1:5" x14ac:dyDescent="0.2">
      <c r="A358" s="19"/>
      <c r="B358" s="19"/>
      <c r="C358" s="19"/>
      <c r="D358" s="19"/>
      <c r="E358" s="19"/>
    </row>
    <row r="359" spans="1:5" x14ac:dyDescent="0.2">
      <c r="A359" s="19"/>
      <c r="B359" s="19"/>
      <c r="C359" s="19"/>
      <c r="D359" s="19"/>
      <c r="E359" s="19"/>
    </row>
    <row r="360" spans="1:5" x14ac:dyDescent="0.2">
      <c r="A360" s="19"/>
      <c r="B360" s="19"/>
      <c r="C360" s="19"/>
      <c r="D360" s="19"/>
      <c r="E360" s="19"/>
    </row>
    <row r="361" spans="1:5" x14ac:dyDescent="0.2">
      <c r="A361" s="19"/>
      <c r="B361" s="19"/>
      <c r="C361" s="19"/>
      <c r="D361" s="19"/>
      <c r="E361" s="19"/>
    </row>
    <row r="362" spans="1:5" x14ac:dyDescent="0.2">
      <c r="A362" s="19"/>
      <c r="B362" s="19"/>
      <c r="C362" s="19"/>
      <c r="D362" s="19"/>
      <c r="E362" s="19"/>
    </row>
    <row r="363" spans="1:5" x14ac:dyDescent="0.2">
      <c r="A363" s="19"/>
      <c r="B363" s="19"/>
      <c r="C363" s="19"/>
      <c r="D363" s="19"/>
      <c r="E363" s="19"/>
    </row>
    <row r="364" spans="1:5" x14ac:dyDescent="0.2">
      <c r="A364" s="19"/>
      <c r="B364" s="19"/>
      <c r="C364" s="19"/>
      <c r="D364" s="19"/>
      <c r="E364" s="19"/>
    </row>
    <row r="365" spans="1:5" x14ac:dyDescent="0.2">
      <c r="A365" s="19"/>
      <c r="B365" s="19"/>
      <c r="C365" s="19"/>
      <c r="D365" s="19"/>
      <c r="E365" s="19"/>
    </row>
    <row r="366" spans="1:5" x14ac:dyDescent="0.2">
      <c r="A366" s="19"/>
      <c r="B366" s="19"/>
      <c r="C366" s="19"/>
      <c r="D366" s="19"/>
      <c r="E366" s="19"/>
    </row>
    <row r="367" spans="1:5" x14ac:dyDescent="0.2">
      <c r="A367" s="19"/>
      <c r="B367" s="19"/>
      <c r="C367" s="19"/>
      <c r="D367" s="19"/>
      <c r="E367" s="19"/>
    </row>
    <row r="368" spans="1:5" x14ac:dyDescent="0.2">
      <c r="A368" s="19"/>
      <c r="B368" s="19"/>
      <c r="C368" s="19"/>
      <c r="D368" s="19"/>
      <c r="E368" s="19"/>
    </row>
    <row r="369" spans="1:5" x14ac:dyDescent="0.2">
      <c r="A369" s="19"/>
      <c r="B369" s="19"/>
      <c r="C369" s="19"/>
      <c r="D369" s="19"/>
      <c r="E369" s="19"/>
    </row>
    <row r="370" spans="1:5" x14ac:dyDescent="0.2">
      <c r="A370" s="19"/>
      <c r="B370" s="19"/>
      <c r="C370" s="19"/>
      <c r="D370" s="19"/>
      <c r="E370" s="19"/>
    </row>
    <row r="371" spans="1:5" x14ac:dyDescent="0.2">
      <c r="A371" s="19"/>
      <c r="B371" s="19"/>
      <c r="C371" s="19"/>
      <c r="D371" s="19"/>
      <c r="E371" s="19"/>
    </row>
    <row r="372" spans="1:5" x14ac:dyDescent="0.2">
      <c r="A372" s="19"/>
      <c r="B372" s="19"/>
      <c r="C372" s="19"/>
      <c r="D372" s="19"/>
      <c r="E372" s="19"/>
    </row>
    <row r="373" spans="1:5" x14ac:dyDescent="0.2">
      <c r="A373" s="19"/>
      <c r="B373" s="19"/>
      <c r="C373" s="19"/>
      <c r="D373" s="19"/>
      <c r="E373" s="19"/>
    </row>
    <row r="374" spans="1:5" x14ac:dyDescent="0.2">
      <c r="A374" s="19"/>
      <c r="B374" s="19"/>
      <c r="C374" s="19"/>
      <c r="D374" s="19"/>
      <c r="E374" s="19"/>
    </row>
    <row r="375" spans="1:5" x14ac:dyDescent="0.2">
      <c r="A375" s="19"/>
      <c r="B375" s="19"/>
      <c r="C375" s="19"/>
      <c r="D375" s="19"/>
      <c r="E375" s="19"/>
    </row>
    <row r="376" spans="1:5" x14ac:dyDescent="0.2">
      <c r="A376" s="19"/>
      <c r="B376" s="19"/>
      <c r="C376" s="19"/>
      <c r="D376" s="19"/>
      <c r="E376" s="19"/>
    </row>
    <row r="377" spans="1:5" x14ac:dyDescent="0.2">
      <c r="A377" s="19"/>
      <c r="B377" s="19"/>
      <c r="C377" s="19"/>
      <c r="D377" s="19"/>
      <c r="E377" s="19"/>
    </row>
    <row r="378" spans="1:5" x14ac:dyDescent="0.2">
      <c r="A378" s="19"/>
      <c r="B378" s="19"/>
      <c r="C378" s="19"/>
      <c r="D378" s="19"/>
      <c r="E378" s="19"/>
    </row>
    <row r="379" spans="1:5" x14ac:dyDescent="0.2">
      <c r="A379" s="19"/>
      <c r="B379" s="19"/>
      <c r="C379" s="19"/>
      <c r="D379" s="19"/>
      <c r="E379" s="19"/>
    </row>
    <row r="380" spans="1:5" x14ac:dyDescent="0.2">
      <c r="A380" s="19"/>
      <c r="B380" s="19"/>
      <c r="C380" s="19"/>
      <c r="D380" s="19"/>
      <c r="E380" s="19"/>
    </row>
    <row r="381" spans="1:5" x14ac:dyDescent="0.2">
      <c r="A381" s="19"/>
      <c r="B381" s="19"/>
      <c r="C381" s="19"/>
      <c r="D381" s="19"/>
      <c r="E381" s="19"/>
    </row>
    <row r="382" spans="1:5" x14ac:dyDescent="0.2">
      <c r="A382" s="19"/>
      <c r="B382" s="19"/>
      <c r="C382" s="19"/>
      <c r="D382" s="19"/>
      <c r="E382" s="19"/>
    </row>
    <row r="383" spans="1:5" x14ac:dyDescent="0.2">
      <c r="A383" s="19"/>
      <c r="B383" s="19"/>
      <c r="C383" s="19"/>
      <c r="D383" s="19"/>
      <c r="E383" s="19"/>
    </row>
    <row r="384" spans="1:5" x14ac:dyDescent="0.2">
      <c r="A384" s="19"/>
      <c r="B384" s="19"/>
      <c r="C384" s="19"/>
      <c r="D384" s="19"/>
      <c r="E384" s="19"/>
    </row>
    <row r="385" spans="1:5" x14ac:dyDescent="0.2">
      <c r="A385" s="19"/>
      <c r="B385" s="19"/>
      <c r="C385" s="19"/>
      <c r="D385" s="19"/>
      <c r="E385" s="19"/>
    </row>
    <row r="386" spans="1:5" x14ac:dyDescent="0.2">
      <c r="A386" s="19"/>
      <c r="B386" s="19"/>
      <c r="C386" s="19"/>
      <c r="D386" s="19"/>
      <c r="E386" s="19"/>
    </row>
    <row r="387" spans="1:5" x14ac:dyDescent="0.2">
      <c r="A387" s="19"/>
      <c r="B387" s="19"/>
      <c r="C387" s="19"/>
      <c r="D387" s="19"/>
      <c r="E387" s="19"/>
    </row>
    <row r="388" spans="1:5" x14ac:dyDescent="0.2">
      <c r="A388" s="19"/>
      <c r="B388" s="19"/>
      <c r="C388" s="19"/>
      <c r="D388" s="19"/>
      <c r="E388" s="19"/>
    </row>
    <row r="389" spans="1:5" x14ac:dyDescent="0.2">
      <c r="A389" s="19"/>
      <c r="B389" s="19"/>
      <c r="C389" s="19"/>
      <c r="D389" s="19"/>
      <c r="E389" s="19"/>
    </row>
    <row r="390" spans="1:5" x14ac:dyDescent="0.2">
      <c r="A390" s="19"/>
      <c r="B390" s="19"/>
      <c r="C390" s="19"/>
      <c r="D390" s="19"/>
      <c r="E390" s="19"/>
    </row>
    <row r="391" spans="1:5" x14ac:dyDescent="0.2">
      <c r="A391" s="19"/>
      <c r="B391" s="19"/>
      <c r="C391" s="19"/>
      <c r="D391" s="19"/>
      <c r="E391" s="19"/>
    </row>
    <row r="392" spans="1:5" x14ac:dyDescent="0.2">
      <c r="A392" s="19"/>
      <c r="B392" s="19"/>
      <c r="C392" s="19"/>
      <c r="D392" s="19"/>
      <c r="E392" s="19"/>
    </row>
    <row r="393" spans="1:5" x14ac:dyDescent="0.2">
      <c r="A393" s="19"/>
      <c r="B393" s="19"/>
      <c r="C393" s="19"/>
      <c r="D393" s="19"/>
      <c r="E393" s="19"/>
    </row>
    <row r="394" spans="1:5" x14ac:dyDescent="0.2">
      <c r="A394" s="19"/>
      <c r="B394" s="19"/>
      <c r="C394" s="19"/>
      <c r="D394" s="19"/>
      <c r="E394" s="19"/>
    </row>
    <row r="395" spans="1:5" x14ac:dyDescent="0.2">
      <c r="A395" s="19"/>
      <c r="B395" s="19"/>
      <c r="C395" s="19"/>
      <c r="D395" s="19"/>
      <c r="E395" s="19"/>
    </row>
    <row r="396" spans="1:5" x14ac:dyDescent="0.2">
      <c r="A396" s="19"/>
      <c r="B396" s="19"/>
      <c r="C396" s="19"/>
      <c r="D396" s="19"/>
      <c r="E396" s="19"/>
    </row>
    <row r="397" spans="1:5" x14ac:dyDescent="0.2">
      <c r="A397" s="19"/>
      <c r="B397" s="19"/>
      <c r="C397" s="19"/>
      <c r="D397" s="19"/>
      <c r="E397" s="19"/>
    </row>
    <row r="398" spans="1:5" x14ac:dyDescent="0.2">
      <c r="A398" s="19"/>
      <c r="B398" s="19"/>
      <c r="C398" s="19"/>
      <c r="D398" s="19"/>
      <c r="E398" s="19"/>
    </row>
    <row r="399" spans="1:5" x14ac:dyDescent="0.2">
      <c r="A399" s="19"/>
      <c r="B399" s="19"/>
      <c r="C399" s="19"/>
      <c r="D399" s="19"/>
      <c r="E399" s="19"/>
    </row>
    <row r="400" spans="1:5" x14ac:dyDescent="0.2">
      <c r="A400" s="19"/>
      <c r="B400" s="19"/>
      <c r="C400" s="19"/>
      <c r="D400" s="19"/>
      <c r="E400" s="19"/>
    </row>
    <row r="401" spans="1:5" x14ac:dyDescent="0.2">
      <c r="A401" s="19"/>
      <c r="B401" s="19"/>
      <c r="C401" s="19"/>
      <c r="D401" s="19"/>
      <c r="E401" s="19"/>
    </row>
    <row r="402" spans="1:5" x14ac:dyDescent="0.2">
      <c r="A402" s="19"/>
      <c r="B402" s="19"/>
      <c r="C402" s="19"/>
      <c r="D402" s="19"/>
      <c r="E402" s="19"/>
    </row>
    <row r="403" spans="1:5" x14ac:dyDescent="0.2">
      <c r="A403" s="19"/>
      <c r="B403" s="19"/>
      <c r="C403" s="19"/>
      <c r="D403" s="19"/>
      <c r="E403" s="19"/>
    </row>
    <row r="404" spans="1:5" x14ac:dyDescent="0.2">
      <c r="A404" s="19"/>
      <c r="B404" s="19"/>
      <c r="C404" s="19"/>
      <c r="D404" s="19"/>
      <c r="E404" s="19"/>
    </row>
    <row r="405" spans="1:5" x14ac:dyDescent="0.2">
      <c r="A405" s="19"/>
      <c r="B405" s="19"/>
      <c r="C405" s="19"/>
      <c r="D405" s="19"/>
      <c r="E405" s="19"/>
    </row>
    <row r="406" spans="1:5" x14ac:dyDescent="0.2">
      <c r="A406" s="19"/>
      <c r="B406" s="19"/>
      <c r="C406" s="19"/>
      <c r="D406" s="19"/>
      <c r="E406" s="19"/>
    </row>
    <row r="407" spans="1:5" x14ac:dyDescent="0.2">
      <c r="A407" s="19"/>
      <c r="B407" s="19"/>
      <c r="C407" s="19"/>
      <c r="D407" s="19"/>
      <c r="E407" s="19"/>
    </row>
    <row r="408" spans="1:5" x14ac:dyDescent="0.2">
      <c r="A408" s="19"/>
      <c r="B408" s="19"/>
      <c r="C408" s="19"/>
      <c r="D408" s="19"/>
      <c r="E408" s="19"/>
    </row>
    <row r="409" spans="1:5" x14ac:dyDescent="0.2">
      <c r="A409" s="19"/>
      <c r="B409" s="19"/>
      <c r="C409" s="19"/>
      <c r="D409" s="19"/>
      <c r="E409" s="19"/>
    </row>
    <row r="410" spans="1:5" x14ac:dyDescent="0.2">
      <c r="A410" s="19"/>
      <c r="B410" s="19"/>
      <c r="C410" s="19"/>
      <c r="D410" s="19"/>
      <c r="E410" s="19"/>
    </row>
    <row r="411" spans="1:5" x14ac:dyDescent="0.2">
      <c r="A411" s="19"/>
      <c r="B411" s="19"/>
      <c r="C411" s="19"/>
      <c r="D411" s="19"/>
      <c r="E411" s="19"/>
    </row>
    <row r="412" spans="1:5" x14ac:dyDescent="0.2">
      <c r="A412" s="19"/>
      <c r="B412" s="19"/>
      <c r="C412" s="19"/>
      <c r="D412" s="19"/>
      <c r="E412" s="19"/>
    </row>
    <row r="413" spans="1:5" x14ac:dyDescent="0.2">
      <c r="A413" s="19"/>
      <c r="B413" s="19"/>
      <c r="C413" s="19"/>
      <c r="D413" s="19"/>
      <c r="E413" s="19"/>
    </row>
    <row r="414" spans="1:5" x14ac:dyDescent="0.2">
      <c r="A414" s="19"/>
      <c r="B414" s="19"/>
      <c r="C414" s="19"/>
      <c r="D414" s="19"/>
      <c r="E414" s="19"/>
    </row>
    <row r="415" spans="1:5" x14ac:dyDescent="0.2">
      <c r="A415" s="19"/>
      <c r="B415" s="19"/>
      <c r="C415" s="19"/>
      <c r="D415" s="19"/>
      <c r="E415" s="19"/>
    </row>
    <row r="416" spans="1:5" x14ac:dyDescent="0.2">
      <c r="A416" s="19"/>
      <c r="B416" s="19"/>
      <c r="C416" s="19"/>
      <c r="D416" s="19"/>
      <c r="E416" s="19"/>
    </row>
    <row r="417" spans="1:5" x14ac:dyDescent="0.2">
      <c r="A417" s="19"/>
      <c r="B417" s="19"/>
      <c r="C417" s="19"/>
      <c r="D417" s="19"/>
      <c r="E417" s="19"/>
    </row>
    <row r="418" spans="1:5" x14ac:dyDescent="0.2">
      <c r="A418" s="19"/>
      <c r="B418" s="19"/>
      <c r="C418" s="19"/>
      <c r="D418" s="19"/>
      <c r="E418" s="19"/>
    </row>
    <row r="419" spans="1:5" x14ac:dyDescent="0.2">
      <c r="A419" s="19"/>
      <c r="B419" s="19"/>
      <c r="C419" s="19"/>
      <c r="D419" s="19"/>
      <c r="E419" s="19"/>
    </row>
    <row r="420" spans="1:5" x14ac:dyDescent="0.2">
      <c r="A420" s="19"/>
      <c r="B420" s="19"/>
      <c r="C420" s="19"/>
      <c r="D420" s="19"/>
      <c r="E420" s="19"/>
    </row>
    <row r="421" spans="1:5" x14ac:dyDescent="0.2">
      <c r="A421" s="19"/>
      <c r="B421" s="19"/>
      <c r="C421" s="19"/>
      <c r="D421" s="19"/>
      <c r="E421" s="19"/>
    </row>
    <row r="422" spans="1:5" x14ac:dyDescent="0.2">
      <c r="A422" s="19"/>
      <c r="B422" s="19"/>
      <c r="C422" s="19"/>
      <c r="D422" s="19"/>
      <c r="E422" s="19"/>
    </row>
    <row r="423" spans="1:5" x14ac:dyDescent="0.2">
      <c r="A423" s="19"/>
      <c r="B423" s="19"/>
      <c r="C423" s="19"/>
      <c r="D423" s="19"/>
      <c r="E423" s="19"/>
    </row>
    <row r="424" spans="1:5" x14ac:dyDescent="0.2">
      <c r="A424" s="19"/>
      <c r="B424" s="19"/>
      <c r="C424" s="19"/>
      <c r="D424" s="19"/>
      <c r="E424" s="19"/>
    </row>
    <row r="425" spans="1:5" x14ac:dyDescent="0.2">
      <c r="A425" s="19"/>
      <c r="B425" s="19"/>
      <c r="C425" s="19"/>
      <c r="D425" s="19"/>
      <c r="E425" s="19"/>
    </row>
    <row r="426" spans="1:5" x14ac:dyDescent="0.2">
      <c r="A426" s="19"/>
      <c r="B426" s="19"/>
      <c r="C426" s="19"/>
      <c r="D426" s="19"/>
      <c r="E426" s="19"/>
    </row>
    <row r="427" spans="1:5" x14ac:dyDescent="0.2">
      <c r="A427" s="19"/>
      <c r="B427" s="19"/>
      <c r="C427" s="19"/>
      <c r="D427" s="19"/>
      <c r="E427" s="19"/>
    </row>
    <row r="428" spans="1:5" x14ac:dyDescent="0.2">
      <c r="A428" s="19"/>
      <c r="B428" s="19"/>
      <c r="C428" s="19"/>
      <c r="D428" s="19"/>
      <c r="E428" s="19"/>
    </row>
    <row r="429" spans="1:5" x14ac:dyDescent="0.2">
      <c r="A429" s="19"/>
      <c r="B429" s="19"/>
      <c r="C429" s="19"/>
      <c r="D429" s="19"/>
      <c r="E429" s="19"/>
    </row>
    <row r="430" spans="1:5" x14ac:dyDescent="0.2">
      <c r="A430" s="19"/>
      <c r="B430" s="19"/>
      <c r="C430" s="19"/>
      <c r="D430" s="19"/>
      <c r="E430" s="19"/>
    </row>
    <row r="431" spans="1:5" x14ac:dyDescent="0.2">
      <c r="A431" s="19"/>
      <c r="B431" s="19"/>
      <c r="C431" s="19"/>
      <c r="D431" s="19"/>
      <c r="E431" s="19"/>
    </row>
    <row r="432" spans="1:5" x14ac:dyDescent="0.2">
      <c r="A432" s="19"/>
      <c r="B432" s="19"/>
      <c r="C432" s="19"/>
      <c r="D432" s="19"/>
      <c r="E432" s="19"/>
    </row>
    <row r="433" spans="1:5" x14ac:dyDescent="0.2">
      <c r="A433" s="19"/>
      <c r="B433" s="19"/>
      <c r="C433" s="19"/>
      <c r="D433" s="19"/>
      <c r="E433" s="19"/>
    </row>
    <row r="434" spans="1:5" x14ac:dyDescent="0.2">
      <c r="A434" s="19"/>
      <c r="B434" s="19"/>
      <c r="C434" s="19"/>
      <c r="D434" s="19"/>
      <c r="E434" s="19"/>
    </row>
    <row r="435" spans="1:5" x14ac:dyDescent="0.2">
      <c r="A435" s="19"/>
      <c r="B435" s="19"/>
      <c r="C435" s="19"/>
      <c r="D435" s="19"/>
      <c r="E435" s="19"/>
    </row>
    <row r="436" spans="1:5" x14ac:dyDescent="0.2">
      <c r="A436" s="19"/>
      <c r="B436" s="19"/>
      <c r="C436" s="19"/>
      <c r="D436" s="19"/>
      <c r="E436" s="19"/>
    </row>
    <row r="437" spans="1:5" x14ac:dyDescent="0.2">
      <c r="A437" s="19"/>
      <c r="B437" s="19"/>
      <c r="C437" s="19"/>
      <c r="D437" s="19"/>
      <c r="E437" s="19"/>
    </row>
    <row r="438" spans="1:5" x14ac:dyDescent="0.2">
      <c r="A438" s="19"/>
      <c r="B438" s="19"/>
      <c r="C438" s="19"/>
      <c r="D438" s="19"/>
      <c r="E438" s="19"/>
    </row>
    <row r="439" spans="1:5" x14ac:dyDescent="0.2">
      <c r="A439" s="19"/>
      <c r="B439" s="19"/>
      <c r="C439" s="19"/>
      <c r="D439" s="19"/>
      <c r="E439" s="19"/>
    </row>
    <row r="440" spans="1:5" x14ac:dyDescent="0.2">
      <c r="A440" s="19"/>
      <c r="B440" s="19"/>
      <c r="C440" s="19"/>
      <c r="D440" s="19"/>
      <c r="E440" s="19"/>
    </row>
    <row r="441" spans="1:5" x14ac:dyDescent="0.2">
      <c r="A441" s="19"/>
      <c r="B441" s="19"/>
      <c r="C441" s="19"/>
      <c r="D441" s="19"/>
      <c r="E441" s="19"/>
    </row>
    <row r="442" spans="1:5" x14ac:dyDescent="0.2">
      <c r="A442" s="19"/>
      <c r="B442" s="19"/>
      <c r="C442" s="19"/>
      <c r="D442" s="19"/>
      <c r="E442" s="19"/>
    </row>
    <row r="443" spans="1:5" x14ac:dyDescent="0.2">
      <c r="A443" s="19"/>
      <c r="B443" s="19"/>
      <c r="C443" s="19"/>
      <c r="D443" s="19"/>
      <c r="E443" s="19"/>
    </row>
    <row r="444" spans="1:5" x14ac:dyDescent="0.2">
      <c r="A444" s="19"/>
      <c r="B444" s="19"/>
      <c r="C444" s="19"/>
      <c r="D444" s="19"/>
      <c r="E444" s="19"/>
    </row>
    <row r="445" spans="1:5" x14ac:dyDescent="0.2">
      <c r="A445" s="19"/>
      <c r="B445" s="19"/>
      <c r="C445" s="19"/>
      <c r="D445" s="19"/>
      <c r="E445" s="19"/>
    </row>
    <row r="446" spans="1:5" x14ac:dyDescent="0.2">
      <c r="A446" s="19"/>
      <c r="B446" s="19"/>
      <c r="C446" s="19"/>
      <c r="D446" s="19"/>
      <c r="E446" s="19"/>
    </row>
    <row r="447" spans="1:5" x14ac:dyDescent="0.2">
      <c r="A447" s="19"/>
      <c r="B447" s="19"/>
      <c r="C447" s="19"/>
      <c r="D447" s="19"/>
      <c r="E447" s="19"/>
    </row>
    <row r="448" spans="1:5" x14ac:dyDescent="0.2">
      <c r="A448" s="19"/>
      <c r="B448" s="19"/>
      <c r="C448" s="19"/>
      <c r="D448" s="19"/>
      <c r="E448" s="19"/>
    </row>
    <row r="449" spans="1:5" x14ac:dyDescent="0.2">
      <c r="A449" s="19"/>
      <c r="B449" s="19"/>
      <c r="C449" s="19"/>
      <c r="D449" s="19"/>
      <c r="E449" s="19"/>
    </row>
    <row r="450" spans="1:5" x14ac:dyDescent="0.2">
      <c r="A450" s="19"/>
      <c r="B450" s="19"/>
      <c r="C450" s="19"/>
      <c r="D450" s="19"/>
      <c r="E450" s="19"/>
    </row>
    <row r="451" spans="1:5" x14ac:dyDescent="0.2">
      <c r="A451" s="19"/>
      <c r="B451" s="19"/>
      <c r="C451" s="19"/>
      <c r="D451" s="19"/>
      <c r="E451" s="19"/>
    </row>
    <row r="452" spans="1:5" x14ac:dyDescent="0.2">
      <c r="A452" s="19"/>
      <c r="B452" s="19"/>
      <c r="C452" s="19"/>
      <c r="D452" s="19"/>
      <c r="E452" s="19"/>
    </row>
    <row r="453" spans="1:5" x14ac:dyDescent="0.2">
      <c r="A453" s="19"/>
      <c r="B453" s="19"/>
      <c r="C453" s="19"/>
      <c r="D453" s="19"/>
      <c r="E453" s="19"/>
    </row>
    <row r="454" spans="1:5" x14ac:dyDescent="0.2">
      <c r="A454" s="19"/>
      <c r="B454" s="19"/>
      <c r="C454" s="19"/>
      <c r="D454" s="19"/>
      <c r="E454" s="19"/>
    </row>
    <row r="455" spans="1:5" x14ac:dyDescent="0.2">
      <c r="A455" s="19"/>
      <c r="B455" s="19"/>
      <c r="C455" s="19"/>
      <c r="D455" s="19"/>
      <c r="E455" s="19"/>
    </row>
    <row r="456" spans="1:5" x14ac:dyDescent="0.2">
      <c r="A456" s="19"/>
      <c r="B456" s="19"/>
      <c r="C456" s="19"/>
      <c r="D456" s="19"/>
      <c r="E456" s="19"/>
    </row>
    <row r="457" spans="1:5" x14ac:dyDescent="0.2">
      <c r="A457" s="19"/>
      <c r="B457" s="19"/>
      <c r="C457" s="19"/>
      <c r="D457" s="19"/>
      <c r="E457" s="19"/>
    </row>
    <row r="458" spans="1:5" x14ac:dyDescent="0.2">
      <c r="A458" s="19"/>
      <c r="B458" s="19"/>
      <c r="C458" s="19"/>
      <c r="D458" s="19"/>
      <c r="E458" s="19"/>
    </row>
    <row r="459" spans="1:5" x14ac:dyDescent="0.2">
      <c r="A459" s="19"/>
      <c r="B459" s="19"/>
      <c r="C459" s="19"/>
      <c r="D459" s="19"/>
      <c r="E459" s="19"/>
    </row>
    <row r="460" spans="1:5" x14ac:dyDescent="0.2">
      <c r="A460" s="19"/>
      <c r="B460" s="19"/>
      <c r="C460" s="19"/>
      <c r="D460" s="19"/>
      <c r="E460" s="19"/>
    </row>
    <row r="461" spans="1:5" x14ac:dyDescent="0.2">
      <c r="A461" s="19"/>
      <c r="B461" s="19"/>
      <c r="C461" s="19"/>
      <c r="D461" s="19"/>
      <c r="E461" s="19"/>
    </row>
    <row r="462" spans="1:5" x14ac:dyDescent="0.2">
      <c r="A462" s="19"/>
      <c r="B462" s="19"/>
      <c r="C462" s="19"/>
      <c r="D462" s="19"/>
      <c r="E462" s="19"/>
    </row>
    <row r="463" spans="1:5" x14ac:dyDescent="0.2">
      <c r="A463" s="19"/>
      <c r="B463" s="19"/>
      <c r="C463" s="19"/>
      <c r="D463" s="19"/>
      <c r="E463" s="19"/>
    </row>
    <row r="464" spans="1:5" x14ac:dyDescent="0.2">
      <c r="A464" s="19"/>
      <c r="B464" s="19"/>
      <c r="C464" s="19"/>
      <c r="D464" s="19"/>
      <c r="E464" s="19"/>
    </row>
    <row r="465" spans="1:5" x14ac:dyDescent="0.2">
      <c r="A465" s="19"/>
      <c r="B465" s="19"/>
      <c r="C465" s="19"/>
      <c r="D465" s="19"/>
      <c r="E465" s="19"/>
    </row>
    <row r="466" spans="1:5" x14ac:dyDescent="0.2">
      <c r="A466" s="19"/>
      <c r="B466" s="19"/>
      <c r="C466" s="19"/>
      <c r="D466" s="19"/>
      <c r="E466" s="19"/>
    </row>
    <row r="467" spans="1:5" x14ac:dyDescent="0.2">
      <c r="A467" s="19"/>
      <c r="B467" s="19"/>
      <c r="C467" s="19"/>
      <c r="D467" s="19"/>
      <c r="E467" s="19"/>
    </row>
    <row r="468" spans="1:5" x14ac:dyDescent="0.2">
      <c r="A468" s="19"/>
      <c r="B468" s="19"/>
      <c r="C468" s="19"/>
      <c r="D468" s="19"/>
      <c r="E468" s="19"/>
    </row>
    <row r="469" spans="1:5" x14ac:dyDescent="0.2">
      <c r="A469" s="19"/>
      <c r="B469" s="19"/>
      <c r="C469" s="19"/>
      <c r="D469" s="19"/>
      <c r="E469" s="19"/>
    </row>
    <row r="470" spans="1:5" x14ac:dyDescent="0.2">
      <c r="A470" s="19"/>
      <c r="B470" s="19"/>
      <c r="C470" s="19"/>
      <c r="D470" s="19"/>
      <c r="E470" s="19"/>
    </row>
    <row r="471" spans="1:5" x14ac:dyDescent="0.2">
      <c r="A471" s="19"/>
      <c r="B471" s="19"/>
      <c r="C471" s="19"/>
      <c r="D471" s="19"/>
      <c r="E471" s="19"/>
    </row>
    <row r="472" spans="1:5" x14ac:dyDescent="0.2">
      <c r="A472" s="19"/>
      <c r="B472" s="19"/>
      <c r="C472" s="19"/>
      <c r="D472" s="19"/>
      <c r="E472" s="19"/>
    </row>
    <row r="473" spans="1:5" x14ac:dyDescent="0.2">
      <c r="A473" s="19"/>
      <c r="B473" s="19"/>
      <c r="C473" s="19"/>
      <c r="D473" s="19"/>
      <c r="E473" s="19"/>
    </row>
    <row r="474" spans="1:5" x14ac:dyDescent="0.2">
      <c r="A474" s="19"/>
      <c r="B474" s="19"/>
      <c r="C474" s="19"/>
      <c r="D474" s="19"/>
      <c r="E474" s="19"/>
    </row>
    <row r="475" spans="1:5" x14ac:dyDescent="0.2">
      <c r="A475" s="19"/>
      <c r="B475" s="19"/>
      <c r="C475" s="19"/>
      <c r="D475" s="19"/>
      <c r="E475" s="19"/>
    </row>
    <row r="476" spans="1:5" x14ac:dyDescent="0.2">
      <c r="A476" s="19"/>
      <c r="B476" s="19"/>
      <c r="C476" s="19"/>
      <c r="D476" s="19"/>
      <c r="E476" s="19"/>
    </row>
    <row r="477" spans="1:5" x14ac:dyDescent="0.2">
      <c r="A477" s="19"/>
      <c r="B477" s="19"/>
      <c r="C477" s="19"/>
      <c r="D477" s="19"/>
      <c r="E477" s="19"/>
    </row>
    <row r="478" spans="1:5" x14ac:dyDescent="0.2">
      <c r="A478" s="19"/>
      <c r="B478" s="19"/>
      <c r="C478" s="19"/>
      <c r="D478" s="19"/>
      <c r="E478" s="19"/>
    </row>
    <row r="479" spans="1:5" x14ac:dyDescent="0.2">
      <c r="A479" s="19"/>
      <c r="B479" s="19"/>
      <c r="C479" s="19"/>
      <c r="D479" s="19"/>
      <c r="E479" s="19"/>
    </row>
    <row r="480" spans="1:5" x14ac:dyDescent="0.2">
      <c r="A480" s="19"/>
      <c r="B480" s="19"/>
      <c r="C480" s="19"/>
      <c r="D480" s="19"/>
      <c r="E480" s="19"/>
    </row>
    <row r="481" spans="1:5" x14ac:dyDescent="0.2">
      <c r="A481" s="19"/>
      <c r="B481" s="19"/>
      <c r="C481" s="19"/>
      <c r="D481" s="19"/>
      <c r="E481" s="19"/>
    </row>
    <row r="482" spans="1:5" x14ac:dyDescent="0.2">
      <c r="A482" s="19"/>
      <c r="B482" s="19"/>
      <c r="C482" s="19"/>
      <c r="D482" s="19"/>
      <c r="E482" s="19"/>
    </row>
    <row r="483" spans="1:5" x14ac:dyDescent="0.2">
      <c r="A483" s="19"/>
      <c r="B483" s="19"/>
      <c r="C483" s="19"/>
      <c r="D483" s="19"/>
      <c r="E483" s="19"/>
    </row>
    <row r="484" spans="1:5" x14ac:dyDescent="0.2">
      <c r="A484" s="19"/>
      <c r="B484" s="19"/>
      <c r="C484" s="19"/>
      <c r="D484" s="19"/>
      <c r="E484" s="19"/>
    </row>
    <row r="485" spans="1:5" x14ac:dyDescent="0.2">
      <c r="A485" s="19"/>
      <c r="B485" s="19"/>
      <c r="C485" s="19"/>
      <c r="D485" s="19"/>
      <c r="E485" s="19"/>
    </row>
    <row r="486" spans="1:5" x14ac:dyDescent="0.2">
      <c r="A486" s="19"/>
      <c r="B486" s="19"/>
      <c r="C486" s="19"/>
      <c r="D486" s="19"/>
      <c r="E486" s="19"/>
    </row>
    <row r="487" spans="1:5" x14ac:dyDescent="0.2">
      <c r="A487" s="19"/>
      <c r="B487" s="19"/>
      <c r="C487" s="19"/>
      <c r="D487" s="19"/>
      <c r="E487" s="19"/>
    </row>
    <row r="488" spans="1:5" x14ac:dyDescent="0.2">
      <c r="A488" s="19"/>
      <c r="B488" s="19"/>
      <c r="C488" s="19"/>
      <c r="D488" s="19"/>
      <c r="E488" s="19"/>
    </row>
    <row r="489" spans="1:5" x14ac:dyDescent="0.2">
      <c r="A489" s="19"/>
      <c r="B489" s="19"/>
      <c r="C489" s="19"/>
      <c r="D489" s="19"/>
      <c r="E489" s="19"/>
    </row>
    <row r="490" spans="1:5" x14ac:dyDescent="0.2">
      <c r="A490" s="19"/>
      <c r="B490" s="19"/>
      <c r="C490" s="19"/>
      <c r="D490" s="19"/>
      <c r="E490" s="19"/>
    </row>
    <row r="491" spans="1:5" x14ac:dyDescent="0.2">
      <c r="A491" s="19"/>
      <c r="B491" s="19"/>
      <c r="C491" s="19"/>
      <c r="D491" s="19"/>
      <c r="E491" s="19"/>
    </row>
    <row r="492" spans="1:5" x14ac:dyDescent="0.2">
      <c r="A492" s="19"/>
      <c r="B492" s="19"/>
      <c r="C492" s="19"/>
      <c r="D492" s="19"/>
      <c r="E492" s="19"/>
    </row>
    <row r="493" spans="1:5" x14ac:dyDescent="0.2">
      <c r="A493" s="19"/>
      <c r="B493" s="19"/>
      <c r="C493" s="19"/>
      <c r="D493" s="19"/>
      <c r="E493" s="19"/>
    </row>
    <row r="494" spans="1:5" x14ac:dyDescent="0.2">
      <c r="A494" s="19"/>
      <c r="B494" s="19"/>
      <c r="C494" s="19"/>
      <c r="D494" s="19"/>
      <c r="E494" s="19"/>
    </row>
    <row r="495" spans="1:5" x14ac:dyDescent="0.2">
      <c r="A495" s="19"/>
      <c r="B495" s="19"/>
      <c r="C495" s="19"/>
      <c r="D495" s="19"/>
      <c r="E495" s="19"/>
    </row>
    <row r="496" spans="1:5" x14ac:dyDescent="0.2">
      <c r="A496" s="19"/>
      <c r="B496" s="19"/>
      <c r="C496" s="19"/>
      <c r="D496" s="19"/>
      <c r="E496" s="19"/>
    </row>
    <row r="497" spans="1:5" x14ac:dyDescent="0.2">
      <c r="A497" s="19"/>
      <c r="B497" s="19"/>
      <c r="C497" s="19"/>
      <c r="D497" s="19"/>
      <c r="E497" s="19"/>
    </row>
    <row r="498" spans="1:5" x14ac:dyDescent="0.2">
      <c r="A498" s="19"/>
      <c r="B498" s="19"/>
      <c r="C498" s="19"/>
      <c r="D498" s="19"/>
      <c r="E498" s="19"/>
    </row>
    <row r="499" spans="1:5" x14ac:dyDescent="0.2">
      <c r="A499" s="19"/>
      <c r="B499" s="19"/>
      <c r="C499" s="19"/>
      <c r="D499" s="19"/>
      <c r="E499" s="19"/>
    </row>
    <row r="500" spans="1:5" x14ac:dyDescent="0.2">
      <c r="A500" s="19"/>
      <c r="B500" s="19"/>
      <c r="C500" s="19"/>
      <c r="D500" s="19"/>
      <c r="E500" s="19"/>
    </row>
    <row r="501" spans="1:5" x14ac:dyDescent="0.2">
      <c r="A501" s="19"/>
      <c r="B501" s="19"/>
      <c r="C501" s="19"/>
      <c r="D501" s="19"/>
      <c r="E501" s="19"/>
    </row>
    <row r="502" spans="1:5" x14ac:dyDescent="0.2">
      <c r="A502" s="19"/>
      <c r="B502" s="19"/>
      <c r="C502" s="19"/>
      <c r="D502" s="19"/>
      <c r="E502" s="19"/>
    </row>
    <row r="503" spans="1:5" x14ac:dyDescent="0.2">
      <c r="A503" s="19"/>
      <c r="B503" s="19"/>
      <c r="C503" s="19"/>
      <c r="D503" s="19"/>
      <c r="E503" s="19"/>
    </row>
    <row r="504" spans="1:5" x14ac:dyDescent="0.2">
      <c r="A504" s="19"/>
      <c r="B504" s="19"/>
      <c r="C504" s="19"/>
      <c r="D504" s="19"/>
      <c r="E504" s="19"/>
    </row>
    <row r="505" spans="1:5" x14ac:dyDescent="0.2">
      <c r="A505" s="19"/>
      <c r="B505" s="19"/>
      <c r="C505" s="19"/>
      <c r="D505" s="19"/>
      <c r="E505" s="19"/>
    </row>
    <row r="506" spans="1:5" x14ac:dyDescent="0.2">
      <c r="A506" s="19"/>
      <c r="B506" s="19"/>
      <c r="C506" s="19"/>
      <c r="D506" s="19"/>
      <c r="E506" s="19"/>
    </row>
    <row r="507" spans="1:5" x14ac:dyDescent="0.2">
      <c r="A507" s="19"/>
      <c r="B507" s="19"/>
      <c r="C507" s="19"/>
      <c r="D507" s="19"/>
      <c r="E507" s="19"/>
    </row>
    <row r="508" spans="1:5" x14ac:dyDescent="0.2">
      <c r="A508" s="19"/>
      <c r="B508" s="19"/>
      <c r="C508" s="19"/>
      <c r="D508" s="19"/>
      <c r="E508" s="19"/>
    </row>
    <row r="509" spans="1:5" x14ac:dyDescent="0.2">
      <c r="A509" s="19"/>
      <c r="B509" s="19"/>
      <c r="C509" s="19"/>
      <c r="D509" s="19"/>
      <c r="E509" s="19"/>
    </row>
    <row r="510" spans="1:5" x14ac:dyDescent="0.2">
      <c r="A510" s="19"/>
      <c r="B510" s="19"/>
      <c r="C510" s="19"/>
      <c r="D510" s="19"/>
      <c r="E510" s="19"/>
    </row>
    <row r="511" spans="1:5" x14ac:dyDescent="0.2">
      <c r="A511" s="19"/>
      <c r="B511" s="19"/>
      <c r="C511" s="19"/>
      <c r="D511" s="19"/>
      <c r="E511" s="19"/>
    </row>
    <row r="512" spans="1:5" x14ac:dyDescent="0.2">
      <c r="A512" s="19"/>
      <c r="B512" s="19"/>
      <c r="C512" s="19"/>
      <c r="D512" s="19"/>
      <c r="E512" s="19"/>
    </row>
    <row r="513" spans="1:5" x14ac:dyDescent="0.2">
      <c r="A513" s="19"/>
      <c r="B513" s="19"/>
      <c r="C513" s="19"/>
      <c r="D513" s="19"/>
      <c r="E513" s="19"/>
    </row>
    <row r="514" spans="1:5" x14ac:dyDescent="0.2">
      <c r="A514" s="19"/>
      <c r="B514" s="19"/>
      <c r="C514" s="19"/>
      <c r="D514" s="19"/>
      <c r="E514" s="19"/>
    </row>
    <row r="515" spans="1:5" x14ac:dyDescent="0.2">
      <c r="A515" s="19"/>
      <c r="B515" s="19"/>
      <c r="C515" s="19"/>
      <c r="D515" s="19"/>
      <c r="E515" s="19"/>
    </row>
    <row r="516" spans="1:5" x14ac:dyDescent="0.2">
      <c r="A516" s="19"/>
      <c r="B516" s="19"/>
      <c r="C516" s="19"/>
      <c r="D516" s="19"/>
      <c r="E516" s="19"/>
    </row>
    <row r="517" spans="1:5" x14ac:dyDescent="0.2">
      <c r="A517" s="19"/>
      <c r="B517" s="19"/>
      <c r="C517" s="19"/>
      <c r="D517" s="19"/>
      <c r="E517" s="19"/>
    </row>
    <row r="518" spans="1:5" x14ac:dyDescent="0.2">
      <c r="A518" s="19"/>
      <c r="B518" s="19"/>
      <c r="C518" s="19"/>
      <c r="D518" s="19"/>
      <c r="E518" s="19"/>
    </row>
    <row r="519" spans="1:5" x14ac:dyDescent="0.2">
      <c r="A519" s="19"/>
      <c r="B519" s="19"/>
      <c r="C519" s="19"/>
      <c r="D519" s="19"/>
      <c r="E519" s="19"/>
    </row>
    <row r="520" spans="1:5" x14ac:dyDescent="0.2">
      <c r="A520" s="19"/>
      <c r="B520" s="19"/>
      <c r="C520" s="19"/>
      <c r="D520" s="19"/>
      <c r="E520" s="19"/>
    </row>
    <row r="521" spans="1:5" x14ac:dyDescent="0.2">
      <c r="A521" s="19"/>
      <c r="B521" s="19"/>
      <c r="C521" s="19"/>
      <c r="D521" s="19"/>
      <c r="E521" s="19"/>
    </row>
    <row r="522" spans="1:5" x14ac:dyDescent="0.2">
      <c r="A522" s="19"/>
      <c r="B522" s="19"/>
      <c r="C522" s="19"/>
      <c r="D522" s="19"/>
      <c r="E522" s="19"/>
    </row>
    <row r="523" spans="1:5" x14ac:dyDescent="0.2">
      <c r="A523" s="19"/>
      <c r="B523" s="19"/>
      <c r="C523" s="19"/>
      <c r="D523" s="19"/>
      <c r="E523" s="19"/>
    </row>
    <row r="524" spans="1:5" x14ac:dyDescent="0.2">
      <c r="A524" s="19"/>
      <c r="B524" s="19"/>
      <c r="C524" s="19"/>
      <c r="D524" s="19"/>
      <c r="E524" s="19"/>
    </row>
    <row r="525" spans="1:5" x14ac:dyDescent="0.2">
      <c r="A525" s="19"/>
      <c r="B525" s="19"/>
      <c r="C525" s="19"/>
      <c r="D525" s="19"/>
      <c r="E525" s="19"/>
    </row>
    <row r="526" spans="1:5" x14ac:dyDescent="0.2">
      <c r="A526" s="19"/>
      <c r="B526" s="19"/>
      <c r="C526" s="19"/>
      <c r="D526" s="19"/>
      <c r="E526" s="19"/>
    </row>
    <row r="527" spans="1:5" x14ac:dyDescent="0.2">
      <c r="A527" s="19"/>
      <c r="B527" s="19"/>
      <c r="C527" s="19"/>
      <c r="D527" s="19"/>
      <c r="E527" s="19"/>
    </row>
    <row r="528" spans="1:5" x14ac:dyDescent="0.2">
      <c r="A528" s="19"/>
      <c r="B528" s="19"/>
      <c r="C528" s="19"/>
      <c r="D528" s="19"/>
      <c r="E528" s="19"/>
    </row>
    <row r="529" spans="1:5" x14ac:dyDescent="0.2">
      <c r="A529" s="19"/>
      <c r="B529" s="19"/>
      <c r="C529" s="19"/>
      <c r="D529" s="19"/>
      <c r="E529" s="19"/>
    </row>
    <row r="530" spans="1:5" x14ac:dyDescent="0.2">
      <c r="A530" s="19"/>
      <c r="B530" s="19"/>
      <c r="C530" s="19"/>
      <c r="D530" s="19"/>
      <c r="E530" s="19"/>
    </row>
    <row r="531" spans="1:5" x14ac:dyDescent="0.2">
      <c r="A531" s="19"/>
      <c r="B531" s="19"/>
      <c r="C531" s="19"/>
      <c r="D531" s="19"/>
      <c r="E531" s="19"/>
    </row>
    <row r="532" spans="1:5" x14ac:dyDescent="0.2">
      <c r="A532" s="19"/>
      <c r="B532" s="19"/>
      <c r="C532" s="19"/>
      <c r="D532" s="19"/>
      <c r="E532" s="19"/>
    </row>
    <row r="533" spans="1:5" x14ac:dyDescent="0.2">
      <c r="A533" s="19"/>
      <c r="B533" s="19"/>
      <c r="C533" s="19"/>
      <c r="D533" s="19"/>
      <c r="E533" s="19"/>
    </row>
    <row r="534" spans="1:5" x14ac:dyDescent="0.2">
      <c r="A534" s="19"/>
      <c r="B534" s="19"/>
      <c r="C534" s="19"/>
      <c r="D534" s="19"/>
      <c r="E534" s="19"/>
    </row>
    <row r="535" spans="1:5" x14ac:dyDescent="0.2">
      <c r="A535" s="19"/>
      <c r="B535" s="19"/>
      <c r="C535" s="19"/>
      <c r="D535" s="19"/>
      <c r="E535" s="19"/>
    </row>
    <row r="536" spans="1:5" x14ac:dyDescent="0.2">
      <c r="A536" s="19"/>
      <c r="B536" s="19"/>
      <c r="C536" s="19"/>
      <c r="D536" s="19"/>
      <c r="E536" s="19"/>
    </row>
    <row r="537" spans="1:5" x14ac:dyDescent="0.2">
      <c r="A537" s="19"/>
      <c r="B537" s="19"/>
      <c r="C537" s="19"/>
      <c r="D537" s="19"/>
      <c r="E537" s="19"/>
    </row>
    <row r="538" spans="1:5" x14ac:dyDescent="0.2">
      <c r="A538" s="19"/>
      <c r="B538" s="19"/>
      <c r="C538" s="19"/>
      <c r="D538" s="19"/>
      <c r="E538" s="19"/>
    </row>
    <row r="539" spans="1:5" x14ac:dyDescent="0.2">
      <c r="A539" s="19"/>
      <c r="B539" s="19"/>
      <c r="C539" s="19"/>
      <c r="D539" s="19"/>
      <c r="E539" s="19"/>
    </row>
    <row r="540" spans="1:5" x14ac:dyDescent="0.2">
      <c r="A540" s="19"/>
      <c r="B540" s="19"/>
      <c r="C540" s="19"/>
      <c r="D540" s="19"/>
      <c r="E540" s="19"/>
    </row>
    <row r="541" spans="1:5" x14ac:dyDescent="0.2">
      <c r="A541" s="19"/>
      <c r="B541" s="19"/>
      <c r="C541" s="19"/>
      <c r="D541" s="19"/>
      <c r="E541" s="19"/>
    </row>
    <row r="542" spans="1:5" x14ac:dyDescent="0.2">
      <c r="A542" s="19"/>
      <c r="B542" s="19"/>
      <c r="C542" s="19"/>
      <c r="D542" s="19"/>
      <c r="E542" s="19"/>
    </row>
    <row r="543" spans="1:5" x14ac:dyDescent="0.2">
      <c r="A543" s="19"/>
      <c r="B543" s="19"/>
      <c r="C543" s="19"/>
      <c r="D543" s="19"/>
      <c r="E543" s="19"/>
    </row>
    <row r="544" spans="1:5" x14ac:dyDescent="0.2">
      <c r="A544" s="19"/>
      <c r="B544" s="19"/>
      <c r="C544" s="19"/>
      <c r="D544" s="19"/>
      <c r="E544" s="19"/>
    </row>
    <row r="545" spans="1:5" x14ac:dyDescent="0.2">
      <c r="A545" s="19"/>
      <c r="B545" s="19"/>
      <c r="C545" s="19"/>
      <c r="D545" s="19"/>
      <c r="E545" s="19"/>
    </row>
    <row r="546" spans="1:5" x14ac:dyDescent="0.2">
      <c r="A546" s="19"/>
      <c r="B546" s="19"/>
      <c r="C546" s="19"/>
      <c r="D546" s="19"/>
      <c r="E546" s="19"/>
    </row>
    <row r="547" spans="1:5" x14ac:dyDescent="0.2">
      <c r="A547" s="19"/>
      <c r="B547" s="19"/>
      <c r="C547" s="19"/>
      <c r="D547" s="19"/>
      <c r="E547" s="19"/>
    </row>
    <row r="548" spans="1:5" x14ac:dyDescent="0.2">
      <c r="A548" s="19"/>
      <c r="B548" s="19"/>
      <c r="C548" s="19"/>
      <c r="D548" s="19"/>
      <c r="E548" s="19"/>
    </row>
    <row r="549" spans="1:5" x14ac:dyDescent="0.2">
      <c r="A549" s="19"/>
      <c r="B549" s="19"/>
      <c r="C549" s="19"/>
      <c r="D549" s="19"/>
      <c r="E549" s="19"/>
    </row>
    <row r="550" spans="1:5" x14ac:dyDescent="0.2">
      <c r="A550" s="19"/>
      <c r="B550" s="19"/>
      <c r="C550" s="19"/>
      <c r="D550" s="19"/>
      <c r="E550" s="19"/>
    </row>
    <row r="551" spans="1:5" x14ac:dyDescent="0.2">
      <c r="A551" s="19"/>
      <c r="B551" s="19"/>
      <c r="C551" s="19"/>
      <c r="D551" s="19"/>
      <c r="E551" s="19"/>
    </row>
    <row r="552" spans="1:5" x14ac:dyDescent="0.2">
      <c r="A552" s="19"/>
      <c r="B552" s="19"/>
      <c r="C552" s="19"/>
      <c r="D552" s="19"/>
      <c r="E552" s="19"/>
    </row>
    <row r="553" spans="1:5" x14ac:dyDescent="0.2">
      <c r="A553" s="19"/>
      <c r="B553" s="19"/>
      <c r="C553" s="19"/>
      <c r="D553" s="19"/>
      <c r="E553" s="19"/>
    </row>
    <row r="554" spans="1:5" x14ac:dyDescent="0.2">
      <c r="A554" s="19"/>
      <c r="B554" s="19"/>
      <c r="C554" s="19"/>
      <c r="D554" s="19"/>
      <c r="E554" s="19"/>
    </row>
    <row r="555" spans="1:5" x14ac:dyDescent="0.2">
      <c r="A555" s="19"/>
      <c r="B555" s="19"/>
      <c r="C555" s="19"/>
      <c r="D555" s="19"/>
      <c r="E555" s="19"/>
    </row>
    <row r="556" spans="1:5" x14ac:dyDescent="0.2">
      <c r="A556" s="19"/>
      <c r="B556" s="19"/>
      <c r="C556" s="19"/>
      <c r="D556" s="19"/>
      <c r="E556" s="19"/>
    </row>
    <row r="557" spans="1:5" x14ac:dyDescent="0.2">
      <c r="A557" s="19"/>
      <c r="B557" s="19"/>
      <c r="C557" s="19"/>
      <c r="D557" s="19"/>
      <c r="E557" s="19"/>
    </row>
    <row r="558" spans="1:5" x14ac:dyDescent="0.2">
      <c r="A558" s="19"/>
      <c r="B558" s="19"/>
      <c r="C558" s="19"/>
      <c r="D558" s="19"/>
      <c r="E558" s="19"/>
    </row>
    <row r="559" spans="1:5" x14ac:dyDescent="0.2">
      <c r="A559" s="19"/>
      <c r="B559" s="19"/>
      <c r="C559" s="19"/>
      <c r="D559" s="19"/>
      <c r="E559" s="19"/>
    </row>
    <row r="560" spans="1:5" x14ac:dyDescent="0.2">
      <c r="A560" s="19"/>
      <c r="B560" s="19"/>
      <c r="C560" s="19"/>
      <c r="D560" s="19"/>
      <c r="E560" s="19"/>
    </row>
    <row r="561" spans="1:5" x14ac:dyDescent="0.2">
      <c r="A561" s="19"/>
      <c r="B561" s="19"/>
      <c r="C561" s="19"/>
      <c r="D561" s="19"/>
      <c r="E561" s="19"/>
    </row>
    <row r="562" spans="1:5" x14ac:dyDescent="0.2">
      <c r="A562" s="19"/>
      <c r="B562" s="19"/>
      <c r="C562" s="19"/>
      <c r="D562" s="19"/>
      <c r="E562" s="19"/>
    </row>
    <row r="563" spans="1:5" x14ac:dyDescent="0.2">
      <c r="A563" s="19"/>
      <c r="B563" s="19"/>
      <c r="C563" s="19"/>
      <c r="D563" s="19"/>
      <c r="E563" s="19"/>
    </row>
    <row r="564" spans="1:5" x14ac:dyDescent="0.2">
      <c r="A564" s="19"/>
      <c r="B564" s="19"/>
      <c r="C564" s="19"/>
      <c r="D564" s="19"/>
      <c r="E564" s="19"/>
    </row>
    <row r="565" spans="1:5" x14ac:dyDescent="0.2">
      <c r="A565" s="19"/>
      <c r="B565" s="19"/>
      <c r="C565" s="19"/>
      <c r="D565" s="19"/>
      <c r="E565" s="19"/>
    </row>
    <row r="566" spans="1:5" x14ac:dyDescent="0.2">
      <c r="A566" s="19"/>
      <c r="B566" s="19"/>
      <c r="C566" s="19"/>
      <c r="D566" s="19"/>
      <c r="E566" s="19"/>
    </row>
    <row r="567" spans="1:5" x14ac:dyDescent="0.2">
      <c r="A567" s="19"/>
      <c r="B567" s="19"/>
      <c r="C567" s="19"/>
      <c r="D567" s="19"/>
      <c r="E567" s="19"/>
    </row>
    <row r="568" spans="1:5" x14ac:dyDescent="0.2">
      <c r="A568" s="19"/>
      <c r="B568" s="19"/>
      <c r="C568" s="19"/>
      <c r="D568" s="19"/>
      <c r="E568" s="19"/>
    </row>
    <row r="569" spans="1:5" x14ac:dyDescent="0.2">
      <c r="A569" s="19"/>
      <c r="B569" s="19"/>
      <c r="C569" s="19"/>
      <c r="D569" s="19"/>
      <c r="E569" s="19"/>
    </row>
    <row r="570" spans="1:5" x14ac:dyDescent="0.2">
      <c r="A570" s="19"/>
      <c r="B570" s="19"/>
      <c r="C570" s="19"/>
      <c r="D570" s="19"/>
      <c r="E570" s="19"/>
    </row>
    <row r="571" spans="1:5" x14ac:dyDescent="0.2">
      <c r="A571" s="19"/>
      <c r="B571" s="19"/>
      <c r="C571" s="19"/>
      <c r="D571" s="19"/>
      <c r="E571" s="19"/>
    </row>
    <row r="572" spans="1:5" x14ac:dyDescent="0.2">
      <c r="A572" s="19"/>
      <c r="B572" s="19"/>
      <c r="C572" s="19"/>
      <c r="D572" s="19"/>
      <c r="E572" s="19"/>
    </row>
    <row r="573" spans="1:5" x14ac:dyDescent="0.2">
      <c r="A573" s="19"/>
      <c r="B573" s="19"/>
      <c r="C573" s="19"/>
      <c r="D573" s="19"/>
      <c r="E573" s="19"/>
    </row>
    <row r="574" spans="1:5" x14ac:dyDescent="0.2">
      <c r="A574" s="19"/>
      <c r="B574" s="19"/>
      <c r="C574" s="19"/>
      <c r="D574" s="19"/>
      <c r="E574" s="19"/>
    </row>
    <row r="575" spans="1:5" x14ac:dyDescent="0.2">
      <c r="A575" s="19"/>
      <c r="B575" s="19"/>
      <c r="C575" s="19"/>
      <c r="D575" s="19"/>
      <c r="E575" s="19"/>
    </row>
    <row r="576" spans="1:5" x14ac:dyDescent="0.2">
      <c r="A576" s="19"/>
      <c r="B576" s="19"/>
      <c r="C576" s="19"/>
      <c r="D576" s="19"/>
      <c r="E576" s="19"/>
    </row>
    <row r="577" spans="1:5" x14ac:dyDescent="0.2">
      <c r="A577" s="19"/>
      <c r="B577" s="19"/>
      <c r="C577" s="19"/>
      <c r="D577" s="19"/>
      <c r="E577" s="19"/>
    </row>
    <row r="578" spans="1:5" x14ac:dyDescent="0.2">
      <c r="A578" s="19"/>
      <c r="B578" s="19"/>
      <c r="C578" s="19"/>
      <c r="D578" s="19"/>
      <c r="E578" s="19"/>
    </row>
    <row r="579" spans="1:5" x14ac:dyDescent="0.2">
      <c r="A579" s="19"/>
      <c r="B579" s="19"/>
      <c r="C579" s="19"/>
      <c r="D579" s="19"/>
      <c r="E579" s="19"/>
    </row>
    <row r="580" spans="1:5" x14ac:dyDescent="0.2">
      <c r="A580" s="19"/>
      <c r="B580" s="19"/>
      <c r="C580" s="19"/>
      <c r="D580" s="19"/>
      <c r="E580" s="19"/>
    </row>
    <row r="581" spans="1:5" x14ac:dyDescent="0.2">
      <c r="A581" s="19"/>
      <c r="B581" s="19"/>
      <c r="C581" s="19"/>
      <c r="D581" s="19"/>
      <c r="E581" s="19"/>
    </row>
    <row r="582" spans="1:5" x14ac:dyDescent="0.2">
      <c r="A582" s="19"/>
      <c r="B582" s="19"/>
      <c r="C582" s="19"/>
      <c r="D582" s="19"/>
      <c r="E582" s="19"/>
    </row>
    <row r="583" spans="1:5" x14ac:dyDescent="0.2">
      <c r="A583" s="19"/>
      <c r="B583" s="19"/>
      <c r="C583" s="19"/>
      <c r="D583" s="19"/>
      <c r="E583" s="19"/>
    </row>
    <row r="584" spans="1:5" x14ac:dyDescent="0.2">
      <c r="A584" s="19"/>
      <c r="B584" s="19"/>
      <c r="C584" s="19"/>
      <c r="D584" s="19"/>
      <c r="E584" s="19"/>
    </row>
    <row r="585" spans="1:5" x14ac:dyDescent="0.2">
      <c r="A585" s="19"/>
      <c r="B585" s="19"/>
      <c r="C585" s="19"/>
      <c r="D585" s="19"/>
      <c r="E585" s="19"/>
    </row>
    <row r="586" spans="1:5" x14ac:dyDescent="0.2">
      <c r="A586" s="19"/>
      <c r="B586" s="19"/>
      <c r="C586" s="19"/>
      <c r="D586" s="19"/>
      <c r="E586" s="19"/>
    </row>
    <row r="587" spans="1:5" x14ac:dyDescent="0.2">
      <c r="A587" s="19"/>
      <c r="B587" s="19"/>
      <c r="C587" s="19"/>
      <c r="D587" s="19"/>
      <c r="E587" s="19"/>
    </row>
    <row r="588" spans="1:5" x14ac:dyDescent="0.2">
      <c r="A588" s="19"/>
      <c r="B588" s="19"/>
      <c r="C588" s="19"/>
      <c r="D588" s="19"/>
      <c r="E588" s="19"/>
    </row>
    <row r="589" spans="1:5" x14ac:dyDescent="0.2">
      <c r="A589" s="19"/>
      <c r="B589" s="19"/>
      <c r="C589" s="19"/>
      <c r="D589" s="19"/>
      <c r="E589" s="19"/>
    </row>
    <row r="590" spans="1:5" x14ac:dyDescent="0.2">
      <c r="A590" s="19"/>
      <c r="B590" s="19"/>
      <c r="C590" s="19"/>
      <c r="D590" s="19"/>
      <c r="E590" s="19"/>
    </row>
    <row r="591" spans="1:5" x14ac:dyDescent="0.2">
      <c r="A591" s="19"/>
      <c r="B591" s="19"/>
      <c r="C591" s="19"/>
      <c r="D591" s="19"/>
      <c r="E591" s="19"/>
    </row>
    <row r="592" spans="1:5" x14ac:dyDescent="0.2">
      <c r="A592" s="19"/>
      <c r="B592" s="19"/>
      <c r="C592" s="19"/>
      <c r="D592" s="19"/>
      <c r="E592" s="19"/>
    </row>
    <row r="593" spans="1:5" x14ac:dyDescent="0.2">
      <c r="A593" s="19"/>
      <c r="B593" s="19"/>
      <c r="C593" s="19"/>
      <c r="D593" s="19"/>
      <c r="E593" s="19"/>
    </row>
    <row r="594" spans="1:5" x14ac:dyDescent="0.2">
      <c r="A594" s="19"/>
      <c r="B594" s="19"/>
      <c r="C594" s="19"/>
      <c r="D594" s="19"/>
      <c r="E594" s="19"/>
    </row>
    <row r="595" spans="1:5" x14ac:dyDescent="0.2">
      <c r="A595" s="19"/>
      <c r="B595" s="19"/>
      <c r="C595" s="19"/>
      <c r="D595" s="19"/>
      <c r="E595" s="19"/>
    </row>
    <row r="596" spans="1:5" x14ac:dyDescent="0.2">
      <c r="A596" s="19"/>
      <c r="B596" s="19"/>
      <c r="C596" s="19"/>
      <c r="D596" s="19"/>
      <c r="E596" s="19"/>
    </row>
    <row r="597" spans="1:5" x14ac:dyDescent="0.2">
      <c r="A597" s="19"/>
      <c r="B597" s="19"/>
      <c r="C597" s="19"/>
      <c r="D597" s="19"/>
      <c r="E597" s="19"/>
    </row>
    <row r="598" spans="1:5" x14ac:dyDescent="0.2">
      <c r="A598" s="19"/>
      <c r="B598" s="19"/>
      <c r="C598" s="19"/>
      <c r="D598" s="19"/>
      <c r="E598" s="19"/>
    </row>
    <row r="599" spans="1:5" x14ac:dyDescent="0.2">
      <c r="A599" s="19"/>
      <c r="B599" s="19"/>
      <c r="C599" s="19"/>
      <c r="D599" s="19"/>
      <c r="E599" s="19"/>
    </row>
    <row r="600" spans="1:5" x14ac:dyDescent="0.2">
      <c r="A600" s="19"/>
      <c r="B600" s="19"/>
      <c r="C600" s="19"/>
      <c r="D600" s="19"/>
      <c r="E600" s="19"/>
    </row>
    <row r="601" spans="1:5" x14ac:dyDescent="0.2">
      <c r="A601" s="19"/>
      <c r="B601" s="19"/>
      <c r="C601" s="19"/>
      <c r="D601" s="19"/>
      <c r="E601" s="1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6</vt:i4>
      </vt:variant>
      <vt:variant>
        <vt:lpstr>Adlandırılmış Aralıklar</vt:lpstr>
      </vt:variant>
      <vt:variant>
        <vt:i4>4</vt:i4>
      </vt:variant>
    </vt:vector>
  </HeadingPairs>
  <TitlesOfParts>
    <vt:vector size="10" baseType="lpstr">
      <vt:lpstr>Data</vt:lpstr>
      <vt:lpstr>Settings</vt:lpstr>
      <vt:lpstr>Fields</vt:lpstr>
      <vt:lpstr>Strings</vt:lpstr>
      <vt:lpstr>About</vt:lpstr>
      <vt:lpstr>Log</vt:lpstr>
      <vt:lpstr>data_head</vt:lpstr>
      <vt:lpstr>fields_hdr</vt:lpstr>
      <vt:lpstr>fields_keys</vt:lpstr>
      <vt:lpstr>lang_data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vCard export. XLS to VCF</dc:title>
  <dc:creator>Mesut</dc:creator>
  <cp:keywords>VCF;XLS;export</cp:keywords>
  <cp:lastModifiedBy>Mesut Akcan</cp:lastModifiedBy>
  <dcterms:created xsi:type="dcterms:W3CDTF">2003-12-26T13:00:09Z</dcterms:created>
  <dcterms:modified xsi:type="dcterms:W3CDTF">2026-10-28T20:17:44Z</dcterms:modified>
</cp:coreProperties>
</file>